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총괄표" sheetId="1" r:id="rId4"/>
    <sheet state="visible" name="1.총괄 시설세부현황" sheetId="2" r:id="rId5"/>
  </sheets>
  <definedNames>
    <definedName name="A">'1.총괄 시설세부현황'!#REF!</definedName>
    <definedName hidden="1" localSheetId="1" name="_xlnm._FilterDatabase">'1.총괄 시설세부현황'!$A$11:$AR$875</definedName>
  </definedNames>
  <calcPr/>
  <extLst>
    <ext uri="GoogleSheetsCustomDataVersion2">
      <go:sheetsCustomData xmlns:go="http://customooxmlschemas.google.com/" r:id="rId6" roundtripDataChecksum="+o596Vrg1EzSI4VjYFkttzNcOKf+/zVv/dxHX9imvAM="/>
    </ext>
  </extLst>
</workbook>
</file>

<file path=xl/sharedStrings.xml><?xml version="1.0" encoding="utf-8"?>
<sst xmlns="http://schemas.openxmlformats.org/spreadsheetml/2006/main" count="13308" uniqueCount="5993">
  <si>
    <t>2021년말</t>
  </si>
  <si>
    <t>2022년말</t>
  </si>
  <si>
    <t>2023년말</t>
  </si>
  <si>
    <t>2024년말</t>
  </si>
  <si>
    <t>증감비교(23-24)</t>
  </si>
  <si>
    <r>
      <rPr>
        <rFont val="Malgun Gothic"/>
        <b/>
        <color theme="0"/>
        <sz val="11.0"/>
      </rPr>
      <t>시</t>
    </r>
    <r>
      <rPr>
        <rFont val="맑은 고딕"/>
        <b/>
        <color theme="0"/>
        <sz val="11.0"/>
      </rPr>
      <t>･</t>
    </r>
    <r>
      <rPr>
        <rFont val="맑은 고딕"/>
        <b/>
        <color theme="0"/>
        <sz val="11.0"/>
      </rPr>
      <t>도</t>
    </r>
  </si>
  <si>
    <t>구 분</t>
  </si>
  <si>
    <t>총 계</t>
  </si>
  <si>
    <t>청소년수련관</t>
  </si>
  <si>
    <t>청소년문화의집</t>
  </si>
  <si>
    <t>청소년수련원</t>
  </si>
  <si>
    <t>청소년야영장</t>
  </si>
  <si>
    <t>유스호스텔</t>
  </si>
  <si>
    <t>청소년특화시설</t>
  </si>
  <si>
    <t>비  고</t>
  </si>
  <si>
    <r>
      <rPr>
        <rFont val="Malgun Gothic"/>
        <b/>
        <color theme="0"/>
        <sz val="11.0"/>
      </rPr>
      <t>시</t>
    </r>
    <r>
      <rPr>
        <rFont val="맑은 고딕"/>
        <b/>
        <color theme="0"/>
        <sz val="11.0"/>
      </rPr>
      <t>･</t>
    </r>
    <r>
      <rPr>
        <rFont val="맑은 고딕"/>
        <b/>
        <color theme="0"/>
        <sz val="11.0"/>
      </rPr>
      <t>도</t>
    </r>
  </si>
  <si>
    <r>
      <rPr>
        <rFont val="Malgun Gothic"/>
        <b/>
        <color theme="0"/>
        <sz val="11.0"/>
      </rPr>
      <t>시</t>
    </r>
    <r>
      <rPr>
        <rFont val="맑은 고딕"/>
        <b/>
        <color theme="0"/>
        <sz val="11.0"/>
      </rPr>
      <t>･</t>
    </r>
    <r>
      <rPr>
        <rFont val="맑은 고딕"/>
        <b/>
        <color theme="0"/>
        <sz val="11.0"/>
      </rPr>
      <t>도</t>
    </r>
  </si>
  <si>
    <r>
      <rPr>
        <rFont val="Malgun Gothic"/>
        <b/>
        <color theme="0"/>
        <sz val="11.0"/>
      </rPr>
      <t>시</t>
    </r>
    <r>
      <rPr>
        <rFont val="맑은 고딕"/>
        <b/>
        <color theme="0"/>
        <sz val="11.0"/>
      </rPr>
      <t>･</t>
    </r>
    <r>
      <rPr>
        <rFont val="맑은 고딕"/>
        <b/>
        <color theme="0"/>
        <sz val="11.0"/>
      </rPr>
      <t>도</t>
    </r>
  </si>
  <si>
    <r>
      <rPr>
        <rFont val="Malgun Gothic"/>
        <b/>
        <color theme="0"/>
        <sz val="11.0"/>
      </rPr>
      <t>시</t>
    </r>
    <r>
      <rPr>
        <rFont val="맑은 고딕"/>
        <b/>
        <color theme="0"/>
        <sz val="11.0"/>
      </rPr>
      <t>･</t>
    </r>
    <r>
      <rPr>
        <rFont val="맑은 고딕"/>
        <b/>
        <color theme="0"/>
        <sz val="11.0"/>
      </rPr>
      <t>도</t>
    </r>
  </si>
  <si>
    <t>총  계</t>
  </si>
  <si>
    <t>계</t>
  </si>
  <si>
    <t>공공</t>
  </si>
  <si>
    <t>민간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</si>
  <si>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</si>
  <si>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</si>
  <si>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</si>
  <si>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</si>
  <si>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</si>
  <si>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</si>
  <si>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</si>
  <si>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</si>
  <si>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</si>
  <si>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</si>
  <si>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</si>
  <si>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</si>
  <si>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</si>
  <si>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</si>
  <si>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</si>
  <si>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</si>
  <si>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</si>
  <si>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-</t>
  </si>
  <si>
    <t>2024년말 기준 청소년수련시설 현황(총괄)</t>
  </si>
  <si>
    <t>수련관</t>
  </si>
  <si>
    <t>직영</t>
  </si>
  <si>
    <t>문화의집</t>
  </si>
  <si>
    <t>위탁</t>
  </si>
  <si>
    <t>수련원</t>
  </si>
  <si>
    <t>대행</t>
  </si>
  <si>
    <t>야영장</t>
  </si>
  <si>
    <t>특화시설</t>
  </si>
  <si>
    <t>연번</t>
  </si>
  <si>
    <t>시도</t>
  </si>
  <si>
    <t>시군구</t>
  </si>
  <si>
    <t>읍면동</t>
  </si>
  <si>
    <t>시설명</t>
  </si>
  <si>
    <t>설치주체</t>
  </si>
  <si>
    <t>시설종류</t>
  </si>
  <si>
    <t>공공/민간</t>
  </si>
  <si>
    <t>설치자
(건물주)</t>
  </si>
  <si>
    <t>운영
관련</t>
  </si>
  <si>
    <t>(직영/위탁)운영단체(운영자)</t>
  </si>
  <si>
    <t>주     소</t>
  </si>
  <si>
    <t>시설수용정원(명)</t>
  </si>
  <si>
    <t>시설규모</t>
  </si>
  <si>
    <t>최초
등록
연월일</t>
  </si>
  <si>
    <t>연락처</t>
  </si>
  <si>
    <t>팩스</t>
  </si>
  <si>
    <t>홈페이지</t>
  </si>
  <si>
    <r>
      <rPr>
        <rFont val="Malgun Gothic"/>
        <b/>
        <color theme="1"/>
        <sz val="10.0"/>
      </rPr>
      <t xml:space="preserve">계
</t>
    </r>
    <r>
      <rPr>
        <rFont val="맑은 고딕"/>
        <b/>
        <color rgb="FFFB009C"/>
        <sz val="10.0"/>
      </rPr>
      <t>*자동합계
 적용
(작성 금지)</t>
    </r>
  </si>
  <si>
    <t>비숙박</t>
  </si>
  <si>
    <t>숙박정원</t>
  </si>
  <si>
    <t>야영정원</t>
  </si>
  <si>
    <t>부지면적
(㎡)</t>
  </si>
  <si>
    <t>연면적
(㎡)</t>
  </si>
  <si>
    <t>건물규모</t>
  </si>
  <si>
    <t>건물동수
(동)</t>
  </si>
  <si>
    <t>방법</t>
  </si>
  <si>
    <t>단체명</t>
  </si>
  <si>
    <t>강남구</t>
  </si>
  <si>
    <t>수서동</t>
  </si>
  <si>
    <t>수서청소년수련관</t>
  </si>
  <si>
    <t>시립</t>
  </si>
  <si>
    <t>서울특별시장</t>
  </si>
  <si>
    <t>(사)한국청소년세상</t>
  </si>
  <si>
    <t>서울시 강남구 광평로 144</t>
  </si>
  <si>
    <t>지하2층,지상3층</t>
  </si>
  <si>
    <t>02-2226-3611</t>
  </si>
  <si>
    <t>02-2226-8554</t>
  </si>
  <si>
    <t xml:space="preserve"> http://www.youtra.or.kr/</t>
  </si>
  <si>
    <t>역삼동</t>
  </si>
  <si>
    <t>역삼청소년수련관</t>
  </si>
  <si>
    <t>구립</t>
  </si>
  <si>
    <t>강남구청장</t>
  </si>
  <si>
    <t>한국스카우트연맹</t>
  </si>
  <si>
    <t>서울시 강남구 논현로64길 7</t>
  </si>
  <si>
    <t>지하3층,지상5층</t>
  </si>
  <si>
    <t>02-550-3600</t>
  </si>
  <si>
    <t>02-550-3618</t>
  </si>
  <si>
    <t xml:space="preserve">www.gyyc.kr </t>
  </si>
  <si>
    <t>청담동</t>
  </si>
  <si>
    <t>강남청소년수련관</t>
  </si>
  <si>
    <t>(사)서울YWCA</t>
  </si>
  <si>
    <t>서울시 강남구 영동대로131길 26</t>
  </si>
  <si>
    <t>지하1층,지상3층</t>
  </si>
  <si>
    <t>02-544-9725</t>
  </si>
  <si>
    <t>02-548-2462</t>
  </si>
  <si>
    <t xml:space="preserve">www.gangnamyc.or.kr </t>
  </si>
  <si>
    <t>강동구</t>
  </si>
  <si>
    <t>강일동</t>
  </si>
  <si>
    <t>시립강동청소년센터</t>
  </si>
  <si>
    <t>한국청소년연맹</t>
  </si>
  <si>
    <t>서울시 강동구 아리수로93길 47</t>
  </si>
  <si>
    <t>지하2층,지상4층</t>
  </si>
  <si>
    <t>02-6252-1300</t>
  </si>
  <si>
    <t>02-6252-1345</t>
  </si>
  <si>
    <t xml:space="preserve">www.wagle.or.kr </t>
  </si>
  <si>
    <t>천호동</t>
  </si>
  <si>
    <t>천호청소년문화의집</t>
  </si>
  <si>
    <t>강동구청장</t>
  </si>
  <si>
    <t>(사)한국청소년연맹</t>
  </si>
  <si>
    <t>서울시 강동구 천중로 61</t>
  </si>
  <si>
    <t xml:space="preserve">지하2층,지상4층 </t>
  </si>
  <si>
    <t>02-2039-0913</t>
  </si>
  <si>
    <t>02-2039-0962</t>
  </si>
  <si>
    <t>www.chyouth.or.kr/</t>
  </si>
  <si>
    <t>둔촌동</t>
  </si>
  <si>
    <t>둔촌청소년문화의집</t>
  </si>
  <si>
    <t>(사)인터넷꿈희망터</t>
  </si>
  <si>
    <t>서울시 강동구 진황도로61길 25-23</t>
  </si>
  <si>
    <t xml:space="preserve">지하2층,지상1층 </t>
  </si>
  <si>
    <t>02-6953-0931</t>
  </si>
  <si>
    <t>02-6953-0932</t>
  </si>
  <si>
    <t>https://dcyouth.or.kr</t>
  </si>
  <si>
    <t>강북구</t>
  </si>
  <si>
    <t>수유동</t>
  </si>
  <si>
    <t>시립강북청소년센터</t>
  </si>
  <si>
    <t>학교법인 광운대학교</t>
  </si>
  <si>
    <t>서울시 강북구 4.19로 74</t>
  </si>
  <si>
    <t>지하2층,지상3층, 생활관</t>
  </si>
  <si>
    <t>02-6715-6600</t>
  </si>
  <si>
    <t>02-6715-6699</t>
  </si>
  <si>
    <t xml:space="preserve">nanna.seoul.kr </t>
  </si>
  <si>
    <t>우이동</t>
  </si>
  <si>
    <t>봉도청소년수련원</t>
  </si>
  <si>
    <t>(재)원불교</t>
  </si>
  <si>
    <t xml:space="preserve"> 서울시 강북구 삼양로181길 68-8 </t>
  </si>
  <si>
    <t>02-993-0029</t>
  </si>
  <si>
    <t xml:space="preserve">bongdo.co.kr </t>
  </si>
  <si>
    <t>강서구</t>
  </si>
  <si>
    <t>내발산동</t>
  </si>
  <si>
    <t>강서청소년회관</t>
  </si>
  <si>
    <t>강서구청장</t>
  </si>
  <si>
    <t>(사)흥사단</t>
  </si>
  <si>
    <t>서울시 강서구 공항대로42길 23-19</t>
  </si>
  <si>
    <t>02-3664-2456</t>
  </si>
  <si>
    <t>02-3664-2005</t>
  </si>
  <si>
    <t xml:space="preserve">www.gs-youth.or.kr </t>
  </si>
  <si>
    <t>화곡동</t>
  </si>
  <si>
    <t>화곡청소년센터</t>
  </si>
  <si>
    <t>서울시 강서구 곰달래로57가길 26</t>
  </si>
  <si>
    <t>02-2061-1318</t>
  </si>
  <si>
    <t>02-2061-3239</t>
  </si>
  <si>
    <t xml:space="preserve">www.hgyouth.or.kr </t>
  </si>
  <si>
    <t>방화동</t>
  </si>
  <si>
    <t>국제청소년센터</t>
  </si>
  <si>
    <t>(사)한국청소년단체협의회</t>
  </si>
  <si>
    <t>서울시 강서구 금낭화로 234</t>
  </si>
  <si>
    <t>지하2층,지상5층</t>
  </si>
  <si>
    <t>02-2667-0475</t>
  </si>
  <si>
    <t>02-2667-0479</t>
  </si>
  <si>
    <t xml:space="preserve">www.iyc.or.kr </t>
  </si>
  <si>
    <t>관악구</t>
  </si>
  <si>
    <t>대학동</t>
  </si>
  <si>
    <t>관악청소년센터</t>
  </si>
  <si>
    <t>관악구청장</t>
  </si>
  <si>
    <t>관악구시설관리공단</t>
  </si>
  <si>
    <t>서울시 관악구 신림로23길 17</t>
  </si>
  <si>
    <t>지하2층 지상4층</t>
  </si>
  <si>
    <t>1995.11.14</t>
  </si>
  <si>
    <t>02-2029-4560</t>
  </si>
  <si>
    <t>www.gwanakgongdan.or.kr</t>
  </si>
  <si>
    <t>삼성동</t>
  </si>
  <si>
    <t>삼성산청소년센터</t>
  </si>
  <si>
    <t>(재) 천주교서울대교구유지재단</t>
  </si>
  <si>
    <t>서울시 관악구 호암로 454-16</t>
  </si>
  <si>
    <t>지하2층, 지상 2층</t>
  </si>
  <si>
    <t>2000.12.22</t>
  </si>
  <si>
    <t>02-887-6346</t>
  </si>
  <si>
    <t>3syouth.or.kr</t>
  </si>
  <si>
    <t>광진구</t>
  </si>
  <si>
    <t>광장동</t>
  </si>
  <si>
    <t>광진청소년센터</t>
  </si>
  <si>
    <t>사단법인 흥사단</t>
  </si>
  <si>
    <t>서울시 광진구 구천면로 2</t>
  </si>
  <si>
    <t>지하1층,지상4층</t>
  </si>
  <si>
    <t>02-2204-3100</t>
  </si>
  <si>
    <t>02-2204-3150</t>
  </si>
  <si>
    <t>www.seekle.or.kr</t>
  </si>
  <si>
    <t>구로구</t>
  </si>
  <si>
    <t>구로동</t>
  </si>
  <si>
    <t>구로청소년센터</t>
  </si>
  <si>
    <t>서울시 구로구 구로동로 141</t>
  </si>
  <si>
    <t>02-838-1318</t>
  </si>
  <si>
    <t>02-838-8559</t>
  </si>
  <si>
    <t xml:space="preserve">www.guro1318.org </t>
  </si>
  <si>
    <t>궁동청소년문화의집</t>
  </si>
  <si>
    <t>구로구청장</t>
  </si>
  <si>
    <t>(사)한국청소년재단</t>
  </si>
  <si>
    <t>서울시 구로구 부일로 949</t>
  </si>
  <si>
    <t>2015.01.23.</t>
  </si>
  <si>
    <t>02-3666-9601</t>
  </si>
  <si>
    <t>02-3666-9604</t>
  </si>
  <si>
    <t>http://guroyouth.or.kr/</t>
  </si>
  <si>
    <t>천왕동</t>
  </si>
  <si>
    <t>천왕동청소년문화의집</t>
  </si>
  <si>
    <t>서울시 구로구 오리로 1115</t>
  </si>
  <si>
    <t>1,386,60</t>
  </si>
  <si>
    <t>지상4층</t>
  </si>
  <si>
    <t>2021.01.15</t>
  </si>
  <si>
    <t>02-2066-1020</t>
  </si>
  <si>
    <t>02-2066-1021</t>
  </si>
  <si>
    <t>https://www.cwyouth.or.kr/</t>
  </si>
  <si>
    <t>금천구</t>
  </si>
  <si>
    <t>시흥동</t>
  </si>
  <si>
    <t>금천청소년센터</t>
  </si>
  <si>
    <t>푸른나무재단</t>
  </si>
  <si>
    <t>서울시 금천구 금하로30길 54</t>
  </si>
  <si>
    <t>02-803-1318</t>
  </si>
  <si>
    <t>02-803-1328</t>
  </si>
  <si>
    <t xml:space="preserve">www.cyc.or.kr </t>
  </si>
  <si>
    <t>독산동</t>
  </si>
  <si>
    <t>독산청소년문화의집</t>
  </si>
  <si>
    <t>금천구청장</t>
  </si>
  <si>
    <t>(재)한국청소년재단</t>
  </si>
  <si>
    <t>서울시 금천구 벚꽃로 10길 45</t>
  </si>
  <si>
    <t>지하1층, 지상1층</t>
  </si>
  <si>
    <t>02-809-9380</t>
  </si>
  <si>
    <t>02-809-9379</t>
  </si>
  <si>
    <t>www.doksanyouth.or.kr</t>
  </si>
  <si>
    <t>금천청소년문화의집</t>
  </si>
  <si>
    <t>서울시 금천구 시흥대로 164</t>
  </si>
  <si>
    <t>지상3층, 지상4층</t>
  </si>
  <si>
    <t>02-857-1318</t>
  </si>
  <si>
    <t>02-857-0924</t>
  </si>
  <si>
    <t>www.gold1000youth.or.kr</t>
  </si>
  <si>
    <t>노원구</t>
  </si>
  <si>
    <t>상계동</t>
  </si>
  <si>
    <t>노원청소년센터</t>
  </si>
  <si>
    <t>(재)푸른나무재단</t>
  </si>
  <si>
    <t>서울시 노원구 덕릉로70길 99</t>
  </si>
  <si>
    <t>지하2층,지상6층</t>
  </si>
  <si>
    <t>02-3391-4141</t>
  </si>
  <si>
    <t>02-3391-4142</t>
  </si>
  <si>
    <t xml:space="preserve"> www.youthcenter.or.kr </t>
  </si>
  <si>
    <t>공릉동</t>
  </si>
  <si>
    <t>공릉청소년문화정보센터</t>
  </si>
  <si>
    <t>노원구청장</t>
  </si>
  <si>
    <t>성공회대학교 산학협력단</t>
  </si>
  <si>
    <t xml:space="preserve">서울시 노원구 노원로1나길 10 </t>
  </si>
  <si>
    <t>지하1층 지상6층</t>
  </si>
  <si>
    <t>02-973-1318</t>
  </si>
  <si>
    <t>02-976-1318</t>
  </si>
  <si>
    <t xml:space="preserve">www.gycenter.or.kr </t>
  </si>
  <si>
    <t>상계청소년문화의집</t>
  </si>
  <si>
    <t>서울시 노원구 동일로230길 6</t>
  </si>
  <si>
    <t>지하1층, 지상5층</t>
  </si>
  <si>
    <t>2019.01.11.</t>
  </si>
  <si>
    <t>02-933-1318</t>
  </si>
  <si>
    <t>02-933-1319</t>
  </si>
  <si>
    <t>www.madiyc.or.kr</t>
  </si>
  <si>
    <t>하계동</t>
  </si>
  <si>
    <t>노원청소년미래진로센터</t>
  </si>
  <si>
    <t>광운학원(광운대학교)</t>
  </si>
  <si>
    <t>서울시 노원구 노원로 16길 16</t>
  </si>
  <si>
    <t>02-949-7766</t>
  </si>
  <si>
    <t>02-949-7744</t>
  </si>
  <si>
    <t>http://www.andyouth.or.kr/</t>
  </si>
  <si>
    <t>도봉구</t>
  </si>
  <si>
    <t>도봉1동</t>
  </si>
  <si>
    <t>도봉숲속마을</t>
  </si>
  <si>
    <t>(재)송석교육문화재단</t>
  </si>
  <si>
    <t>서울시 도봉구 도봉산길 54-14</t>
  </si>
  <si>
    <t>지하2층, 지상3층</t>
  </si>
  <si>
    <t>02-954-0203</t>
  </si>
  <si>
    <t>02-954-0295</t>
  </si>
  <si>
    <t xml:space="preserve">www.forestville.co.kr </t>
  </si>
  <si>
    <t>쌍문4동</t>
  </si>
  <si>
    <t>도봉구립쌍문동청소년문화의집</t>
  </si>
  <si>
    <t>도봉구청장</t>
  </si>
  <si>
    <t>(사)yes21청소년재단</t>
  </si>
  <si>
    <t>서울시 도봉구 시루봉로2길 34</t>
  </si>
  <si>
    <t>지하1층,지상2층</t>
  </si>
  <si>
    <t>02-908-0457</t>
  </si>
  <si>
    <t>02-908-0479</t>
  </si>
  <si>
    <t xml:space="preserve">www.smy.or.kr </t>
  </si>
  <si>
    <t>창3동</t>
  </si>
  <si>
    <t>창동청소년문화의집</t>
  </si>
  <si>
    <t>(사)한국청소년지원네트워크</t>
  </si>
  <si>
    <t>서울시 도봉구 덕릉로62길 89</t>
  </si>
  <si>
    <t>02-908-0924</t>
  </si>
  <si>
    <t>02-905-0924</t>
  </si>
  <si>
    <t xml:space="preserve">www.dazzl.org </t>
  </si>
  <si>
    <t>창4동</t>
  </si>
  <si>
    <t>시립창동청소년센터</t>
  </si>
  <si>
    <t>서울시 도봉구 노해로69길 132</t>
  </si>
  <si>
    <t>지상4층, 지하2층</t>
  </si>
  <si>
    <t>02-950-9600</t>
  </si>
  <si>
    <t>02-950-9609</t>
  </si>
  <si>
    <t xml:space="preserve">www.cdyouth.or.kr </t>
  </si>
  <si>
    <t>도봉동</t>
  </si>
  <si>
    <t>북한산생태탐방원</t>
  </si>
  <si>
    <t>공단</t>
  </si>
  <si>
    <t>국립공원공단</t>
  </si>
  <si>
    <t xml:space="preserve">서울시 도봉구 도봉산길 86 </t>
  </si>
  <si>
    <t>지상3층</t>
  </si>
  <si>
    <t>02-901-0700</t>
  </si>
  <si>
    <t>02-901-0740</t>
  </si>
  <si>
    <t>도봉동청소년문화의집</t>
  </si>
  <si>
    <t>(사)YES21청소년재단</t>
  </si>
  <si>
    <t>서울시 도봉구 도봉로180나길 33-61</t>
  </si>
  <si>
    <t>지하1층, 지상4층</t>
  </si>
  <si>
    <t>02-6953-3256</t>
  </si>
  <si>
    <t>070-5222-9504</t>
  </si>
  <si>
    <t>www.dbase.or.kr</t>
  </si>
  <si>
    <t>동대문구</t>
  </si>
  <si>
    <t>청량리동</t>
  </si>
  <si>
    <t>시립동대문청소년센터</t>
  </si>
  <si>
    <t>서울시 동대문구 제기로33길 25</t>
  </si>
  <si>
    <t>02-3295-1478</t>
  </si>
  <si>
    <t>02-3295-4787</t>
  </si>
  <si>
    <t xml:space="preserve">www.ddmy.or.kr </t>
  </si>
  <si>
    <t>동작구</t>
  </si>
  <si>
    <t>사당동</t>
  </si>
  <si>
    <t>사당청소년센터</t>
  </si>
  <si>
    <t>동작구청장</t>
  </si>
  <si>
    <t>서울시 동작구 사당로23길 57-7</t>
  </si>
  <si>
    <t>운영</t>
  </si>
  <si>
    <t>02-595-0231</t>
  </si>
  <si>
    <t>02-594-2648</t>
  </si>
  <si>
    <t xml:space="preserve">www.sdyouth.net </t>
  </si>
  <si>
    <t>상도동</t>
  </si>
  <si>
    <t>동작청소년센터</t>
  </si>
  <si>
    <t>서울시 동작구 상도로15바길 5</t>
  </si>
  <si>
    <t>02-816-7971</t>
  </si>
  <si>
    <t>02-816-7973</t>
  </si>
  <si>
    <t>www.djyc.or.kr</t>
  </si>
  <si>
    <t>신대방동</t>
  </si>
  <si>
    <t>보라매청소년센터</t>
  </si>
  <si>
    <t>(재)서울가톨릭청소년회</t>
  </si>
  <si>
    <t>서울시 동작구 여의대방로20길 61</t>
  </si>
  <si>
    <t>지상2층</t>
  </si>
  <si>
    <t>02-834-6411</t>
  </si>
  <si>
    <t>02-834-7235</t>
  </si>
  <si>
    <t xml:space="preserve">www.boramyc.or.kr </t>
  </si>
  <si>
    <t>대방동</t>
  </si>
  <si>
    <t>대방청소년센터</t>
  </si>
  <si>
    <t>서울시 동작구 여의대방로36길 51</t>
  </si>
  <si>
    <t>지하1층,지하3층</t>
  </si>
  <si>
    <t>02-845-0924</t>
  </si>
  <si>
    <t>02-845-0925</t>
  </si>
  <si>
    <t>www.bunker.or.kr</t>
  </si>
  <si>
    <t>마포구</t>
  </si>
  <si>
    <t>성산동</t>
  </si>
  <si>
    <t>마포청소년센터</t>
  </si>
  <si>
    <t>(학) 명지학원 명지전문대학</t>
  </si>
  <si>
    <t>서울시 마포구 월드컵로 212</t>
  </si>
  <si>
    <t>02-3153-5900</t>
  </si>
  <si>
    <t>02-3153-5999</t>
  </si>
  <si>
    <t xml:space="preserve">www.youthnaroo.or.kr </t>
  </si>
  <si>
    <t>상암동</t>
  </si>
  <si>
    <t>마포청소년문화의집</t>
  </si>
  <si>
    <t>마포구청장</t>
  </si>
  <si>
    <t>서울시 마포구 상암산로1길 67</t>
  </si>
  <si>
    <t>지하1층,지상5층</t>
  </si>
  <si>
    <t>02-303-1380</t>
  </si>
  <si>
    <t>02-303-5800</t>
  </si>
  <si>
    <t xml:space="preserve">www.mycc.or.kr </t>
  </si>
  <si>
    <t>도화동</t>
  </si>
  <si>
    <t>도화청소년문화의집</t>
  </si>
  <si>
    <t>서울시 마포구 도화2길 77</t>
  </si>
  <si>
    <t>지하1층, 지상3층</t>
  </si>
  <si>
    <t>02-6925-2684</t>
  </si>
  <si>
    <t>02-6925-2685</t>
  </si>
  <si>
    <t xml:space="preserve"> www.dhyouth.or.kr </t>
  </si>
  <si>
    <t>망원동</t>
  </si>
  <si>
    <t>구립망원청소년문화센터</t>
  </si>
  <si>
    <t>서울시 마포구 월드컵로25길 164</t>
  </si>
  <si>
    <t>지하1층,지상3층,공부방</t>
  </si>
  <si>
    <t>02-332-2541</t>
  </si>
  <si>
    <t>02-332-2542</t>
  </si>
  <si>
    <t xml:space="preserve">www.mwyouth.org </t>
  </si>
  <si>
    <t>서대문구</t>
  </si>
  <si>
    <t>연희동</t>
  </si>
  <si>
    <t>서대문청소년센터</t>
  </si>
  <si>
    <t>서울시 서대문구 연희로32길 129</t>
  </si>
  <si>
    <t xml:space="preserve">02-334-0080 </t>
  </si>
  <si>
    <t>02-334-5885</t>
  </si>
  <si>
    <t>http://www.fun1318.or.kr/</t>
  </si>
  <si>
    <t>홍은동</t>
  </si>
  <si>
    <t>홍은청소년문화의집</t>
  </si>
  <si>
    <t>서대문구청장</t>
  </si>
  <si>
    <t>서울시 서대문구 포방터길 110</t>
  </si>
  <si>
    <t>02-3216-1318</t>
  </si>
  <si>
    <t>02-391-1320</t>
  </si>
  <si>
    <t xml:space="preserve">www.hyc.or.kr </t>
  </si>
  <si>
    <t>남가좌2동</t>
  </si>
  <si>
    <t>가재울청소년센터</t>
  </si>
  <si>
    <t>서울시 서대문구 거북골로 103</t>
  </si>
  <si>
    <t>02-336-9240</t>
  </si>
  <si>
    <t>02-3144-0950</t>
  </si>
  <si>
    <t>https://www.gjumyc.or.kr/</t>
  </si>
  <si>
    <t>서초구</t>
  </si>
  <si>
    <t>방배3동</t>
  </si>
  <si>
    <t>방배유스센터</t>
  </si>
  <si>
    <t>서초구청장</t>
  </si>
  <si>
    <t>서울시 서초구 방배로5길 11</t>
  </si>
  <si>
    <t>지상1층, 지상5층</t>
  </si>
  <si>
    <t>02-3487-6161</t>
  </si>
  <si>
    <t>02-3487-6752</t>
  </si>
  <si>
    <t>www.bbhillyouth.or.kr</t>
  </si>
  <si>
    <t>서초3동</t>
  </si>
  <si>
    <t>서초유스센터</t>
  </si>
  <si>
    <t xml:space="preserve">서울시 서초구 반포대로 57 </t>
  </si>
  <si>
    <t xml:space="preserve">지하4층 지상8층 </t>
  </si>
  <si>
    <t>02-3486-1318</t>
  </si>
  <si>
    <t>02-3486-0023</t>
  </si>
  <si>
    <t>www.scy.or.kr</t>
  </si>
  <si>
    <t>성동구</t>
  </si>
  <si>
    <t>금호동3가</t>
  </si>
  <si>
    <t>성동청소년문화의집</t>
  </si>
  <si>
    <t>성동구청장</t>
  </si>
  <si>
    <t>재단법인성동문화재단</t>
  </si>
  <si>
    <t>서울시 성동구 장터1길 18</t>
  </si>
  <si>
    <t>02-2236-2678~9</t>
  </si>
  <si>
    <t>02-2234-5254</t>
  </si>
  <si>
    <t>https://www.sdfac.or.kr/kor/sdy/main.do</t>
  </si>
  <si>
    <t>행당동</t>
  </si>
  <si>
    <t>시립성동청소년센터</t>
  </si>
  <si>
    <t>재단법인 서울가톨릭청소년회</t>
  </si>
  <si>
    <t>서울시 성동구 고산자로 260</t>
  </si>
  <si>
    <t>02-2296-4062</t>
  </si>
  <si>
    <t>02-2296-4065</t>
  </si>
  <si>
    <t>http://www.sdyc.or.kr/</t>
  </si>
  <si>
    <t>성북구</t>
  </si>
  <si>
    <t>장위동</t>
  </si>
  <si>
    <t>성북청소년센터</t>
  </si>
  <si>
    <t>(학)광운학원 광운대학교</t>
  </si>
  <si>
    <t>서울시 성북구 한천로660-9</t>
  </si>
  <si>
    <t>02-3292-1320</t>
  </si>
  <si>
    <t>02-3292-1317</t>
  </si>
  <si>
    <t>http://www.sbyouth.or.kr/</t>
  </si>
  <si>
    <t>정릉동</t>
  </si>
  <si>
    <t>성북청소년문화의집</t>
  </si>
  <si>
    <t>성북구청장</t>
  </si>
  <si>
    <t>사단법인 한국스카우트연맹</t>
  </si>
  <si>
    <t>서울특별시 성북구 솔샘로 107</t>
  </si>
  <si>
    <t>02-919-9566</t>
  </si>
  <si>
    <t>02-919-9567</t>
  </si>
  <si>
    <t>https://sbyc.or.kr/</t>
  </si>
  <si>
    <t>월곡동</t>
  </si>
  <si>
    <t>월곡청소년센터</t>
  </si>
  <si>
    <t>서울시 성북구 화랑로13가길 110</t>
  </si>
  <si>
    <t>02-943-9025</t>
  </si>
  <si>
    <t>02-943-9029</t>
  </si>
  <si>
    <t>https://wgyouth.or.kr/</t>
  </si>
  <si>
    <t>송파구</t>
  </si>
  <si>
    <t>마천동</t>
  </si>
  <si>
    <t>마천청소년센터</t>
  </si>
  <si>
    <t>송파구청장</t>
  </si>
  <si>
    <t>(재)행복함께나누는재단</t>
  </si>
  <si>
    <t>서울시 송파구 성내천로 319(마천동)</t>
  </si>
  <si>
    <t>02-443-0100</t>
  </si>
  <si>
    <t>02-3402-0435</t>
  </si>
  <si>
    <t xml:space="preserve">www.mcyouth.or.kr </t>
  </si>
  <si>
    <t>문정동</t>
  </si>
  <si>
    <t>송파청소년센터</t>
  </si>
  <si>
    <t>서울시 송파구 중대로4길 4(문정동)</t>
  </si>
  <si>
    <t>02-449-0500</t>
  </si>
  <si>
    <t>02-449-1122</t>
  </si>
  <si>
    <t>http://www.youth1318.or.kr/</t>
  </si>
  <si>
    <t>방이동</t>
  </si>
  <si>
    <t>서울올림픽파크텔</t>
  </si>
  <si>
    <t>국민체육진흥공단</t>
  </si>
  <si>
    <t>서울시 송파구 올림픽로 448(방이동)</t>
  </si>
  <si>
    <t>지하1층,지상19층</t>
  </si>
  <si>
    <t>02-410-2114</t>
  </si>
  <si>
    <t>02-410-2102</t>
  </si>
  <si>
    <t xml:space="preserve">www.parktel.co.kr </t>
  </si>
  <si>
    <t>잠실동</t>
  </si>
  <si>
    <t>잠실청소년센터</t>
  </si>
  <si>
    <t>서울시 송파구 올림픽로 8길 22(잠실동)</t>
  </si>
  <si>
    <t>지하2층, 지상8층</t>
  </si>
  <si>
    <t>02-2039-1530</t>
  </si>
  <si>
    <t>02-2039-0259</t>
  </si>
  <si>
    <t>www.jamsilyouthcenter.or.kr</t>
  </si>
  <si>
    <t>오금동</t>
  </si>
  <si>
    <t>오금청소년센터</t>
  </si>
  <si>
    <t>(사)한빛청소년재단</t>
  </si>
  <si>
    <t>서울시 송파구 동남로28길 40(오금동)</t>
  </si>
  <si>
    <t>02-6951-1825</t>
  </si>
  <si>
    <t>02-6951-1826</t>
  </si>
  <si>
    <t>www.ogyouth.or.kr</t>
  </si>
  <si>
    <t>양천구</t>
  </si>
  <si>
    <t>신월동</t>
  </si>
  <si>
    <t>서울시립청소년드림센터</t>
  </si>
  <si>
    <t>(재)한국천주교살레시오회</t>
  </si>
  <si>
    <t>서울시 양천구 남부순환로54길 37</t>
  </si>
  <si>
    <t>보스코관 지하1층, 지상3층
사비오관 지상1층, 지상2층</t>
  </si>
  <si>
    <t>02-2051-8600</t>
  </si>
  <si>
    <t>0504-984-4623</t>
  </si>
  <si>
    <t xml:space="preserve">dreamcenter.or.kr </t>
  </si>
  <si>
    <t>목1동</t>
  </si>
  <si>
    <t>목동청소년센터</t>
  </si>
  <si>
    <t>서울시 양천구 목동서로 143</t>
  </si>
  <si>
    <t>02-2642-1318</t>
  </si>
  <si>
    <t>02-2654-7784</t>
  </si>
  <si>
    <t>http://www.wawa.or.kr/</t>
  </si>
  <si>
    <t>신월3동</t>
  </si>
  <si>
    <t>신월청소년문화센터</t>
  </si>
  <si>
    <t>양천구청장</t>
  </si>
  <si>
    <t>(재)천주교살레시오수녀회</t>
  </si>
  <si>
    <t>서울시 양천구 가로공원로 86</t>
  </si>
  <si>
    <t>02-2604-7875</t>
  </si>
  <si>
    <t>02-2604-7876</t>
  </si>
  <si>
    <t xml:space="preserve">www.swyouth.or.kr </t>
  </si>
  <si>
    <t>신정동</t>
  </si>
  <si>
    <t>서울시립청소년음악센터</t>
  </si>
  <si>
    <t>(학)서경대학원 서경대학교</t>
  </si>
  <si>
    <t>서울 양천구 남부순환로 657</t>
  </si>
  <si>
    <t>지하1층, 지상6층</t>
  </si>
  <si>
    <t>02-6956-1870</t>
  </si>
  <si>
    <t>02-6956-1860</t>
  </si>
  <si>
    <t>https://symc.or.kr/</t>
  </si>
  <si>
    <t>영등포구</t>
  </si>
  <si>
    <t>문래동</t>
  </si>
  <si>
    <t>문래청소년센터</t>
  </si>
  <si>
    <t>학)명지학원 명지전문대학</t>
  </si>
  <si>
    <t>서울시 영등포구 문래로 110</t>
  </si>
  <si>
    <t xml:space="preserve">지하1층,지상4층 </t>
  </si>
  <si>
    <t>02-2167-0100</t>
  </si>
  <si>
    <t>02-2167-0188</t>
  </si>
  <si>
    <t xml:space="preserve">www.mullaeyouth.or.kr </t>
  </si>
  <si>
    <t>신길동</t>
  </si>
  <si>
    <t>영등포청소년문화의집</t>
  </si>
  <si>
    <t>영등포구청장</t>
  </si>
  <si>
    <t>사)한국청소년재단</t>
  </si>
  <si>
    <t>서울시 영등포구 영등포로64길 15</t>
  </si>
  <si>
    <t>지하1층,지상2,3층,별관3층</t>
  </si>
  <si>
    <t>02-836-2145</t>
  </si>
  <si>
    <t>02-836-6860</t>
  </si>
  <si>
    <t xml:space="preserve">www.ssoul.org </t>
  </si>
  <si>
    <t>영등포</t>
  </si>
  <si>
    <t>청소년미래진로센터</t>
  </si>
  <si>
    <t>학교법인 연세대학교</t>
  </si>
  <si>
    <t>서울시 영등포구 영신로 200</t>
  </si>
  <si>
    <t>지하1층,지상3/5층</t>
  </si>
  <si>
    <t>02-2677-9200</t>
  </si>
  <si>
    <t>02-2679-9300</t>
  </si>
  <si>
    <t>www.haja.net</t>
  </si>
  <si>
    <t>청소년성문화센터</t>
  </si>
  <si>
    <t>(재)한국기독교청년회전국연맹</t>
  </si>
  <si>
    <t>02-2677-9220</t>
  </si>
  <si>
    <t>02-2677-9042</t>
  </si>
  <si>
    <t>https://www.ahacenter.kr</t>
  </si>
  <si>
    <t>하이서울유스호스텔</t>
  </si>
  <si>
    <t>지하1층, 지상7층</t>
  </si>
  <si>
    <t>02-2677-1779</t>
  </si>
  <si>
    <t>02-2677-1776</t>
  </si>
  <si>
    <t xml:space="preserve">www.hiseoulyh.com </t>
  </si>
  <si>
    <t>용산구</t>
  </si>
  <si>
    <t>갈월동</t>
  </si>
  <si>
    <t>청소년미디어센터</t>
  </si>
  <si>
    <t>서울시 용산구 한강대로 255</t>
  </si>
  <si>
    <t xml:space="preserve">지하1층,지상5층 </t>
  </si>
  <si>
    <t>02-795-8000</t>
  </si>
  <si>
    <t>02-798-0014</t>
  </si>
  <si>
    <t xml:space="preserve">www.ssro.net </t>
  </si>
  <si>
    <t>이촌동</t>
  </si>
  <si>
    <t>용산청소년센터</t>
  </si>
  <si>
    <t>용산구청장</t>
  </si>
  <si>
    <t>용산구시설관리공단</t>
  </si>
  <si>
    <t>서울시 용산구 이촌로71길24</t>
  </si>
  <si>
    <t>지하3층~지상5층</t>
  </si>
  <si>
    <t>2006. 7. 3.</t>
  </si>
  <si>
    <t>02-749-0102</t>
  </si>
  <si>
    <t>02-749-0223</t>
  </si>
  <si>
    <t>https://yongsanyouth.or.kr/mber/home/ythCtrHome.do</t>
  </si>
  <si>
    <t>원효로1동</t>
  </si>
  <si>
    <t>용산청소년문화의집</t>
  </si>
  <si>
    <t>서울시 용산구 백범로 329(5층)</t>
  </si>
  <si>
    <t>지하1층~지상5층</t>
  </si>
  <si>
    <t>2017. 12. 29.</t>
  </si>
  <si>
    <t>02-707-0704</t>
  </si>
  <si>
    <t>02-707-0570</t>
  </si>
  <si>
    <t>https://yongsanyouth.or.kr/mber/home/ythCultrHome.do</t>
  </si>
  <si>
    <t>서빙고동</t>
  </si>
  <si>
    <t>온누리청소년문화의집</t>
  </si>
  <si>
    <t>(재)온누리선교재단</t>
  </si>
  <si>
    <t>서울 용산구 이촌로 358</t>
  </si>
  <si>
    <t>지하1층~지상4층</t>
  </si>
  <si>
    <t>02-3215-3359</t>
  </si>
  <si>
    <t>02-792-3359</t>
  </si>
  <si>
    <t xml:space="preserve"> </t>
  </si>
  <si>
    <t>은평구</t>
  </si>
  <si>
    <t>응암동</t>
  </si>
  <si>
    <t>시립은평청소년센터</t>
  </si>
  <si>
    <t>(사)엔젤스헤이븐</t>
  </si>
  <si>
    <t>서울시 은평구 백련산로4길 16</t>
  </si>
  <si>
    <t>02-383-9966</t>
  </si>
  <si>
    <t>02-383-0508</t>
  </si>
  <si>
    <t xml:space="preserve"> www.woori1318.or.kr </t>
  </si>
  <si>
    <t>역촌동</t>
  </si>
  <si>
    <t>은평청소년문화의집 신나는애프터센터</t>
  </si>
  <si>
    <t>은평구청장</t>
  </si>
  <si>
    <t>(사) 열린사회시민연합</t>
  </si>
  <si>
    <t>서울시 은평구 연서로6길 7(역촌동)</t>
  </si>
  <si>
    <t>02-353-7910</t>
  </si>
  <si>
    <t>02-353-7969</t>
  </si>
  <si>
    <t xml:space="preserve">http://www.epyouth.org </t>
  </si>
  <si>
    <t>갈현동</t>
  </si>
  <si>
    <t>갈현청소년문화의집</t>
  </si>
  <si>
    <t>사회복지법인 엔젤스헤이븐</t>
  </si>
  <si>
    <t>서울시 은평구 통일로 89길 6-20(갈현동)</t>
  </si>
  <si>
    <t>02-382-1318</t>
  </si>
  <si>
    <t>02-382-1319</t>
  </si>
  <si>
    <t>http://ghyouthcenter.or.kr/</t>
  </si>
  <si>
    <t>중구</t>
  </si>
  <si>
    <t>수표동</t>
  </si>
  <si>
    <t>서울청소년센터</t>
  </si>
  <si>
    <t>(사)한국청소년육성회</t>
  </si>
  <si>
    <t>서울시 중구 을지로11길 23</t>
  </si>
  <si>
    <t>지하1층,지상8층</t>
  </si>
  <si>
    <t>02-2267-2914</t>
  </si>
  <si>
    <t>02-2266-3211</t>
  </si>
  <si>
    <t xml:space="preserve">www.youthc.or.kr </t>
  </si>
  <si>
    <t>신당동</t>
  </si>
  <si>
    <t>중구청소년센터</t>
  </si>
  <si>
    <t>중구청장</t>
  </si>
  <si>
    <t>행복함께나누는재단</t>
  </si>
  <si>
    <t>서울시 중구 동호로5길19</t>
  </si>
  <si>
    <t>02-2250-0500</t>
  </si>
  <si>
    <t>02-2236-1020</t>
  </si>
  <si>
    <t xml:space="preserve">www.j-youth.org </t>
  </si>
  <si>
    <t>예장동</t>
  </si>
  <si>
    <t>청소년문화교류센터</t>
  </si>
  <si>
    <t>대산문화재단</t>
  </si>
  <si>
    <t>서울시 중구 퇴계로26가길 6 2층</t>
  </si>
  <si>
    <t>02-755-1024</t>
  </si>
  <si>
    <t>02-755-7057</t>
  </si>
  <si>
    <t xml:space="preserve"> www.mizy.net </t>
  </si>
  <si>
    <t>서울유스호스텔</t>
  </si>
  <si>
    <t>서울시 중구 퇴계로26가길 6</t>
  </si>
  <si>
    <t>지하1층,지상7층</t>
  </si>
  <si>
    <t>02-319-1318</t>
  </si>
  <si>
    <t>02-319-1314</t>
  </si>
  <si>
    <t xml:space="preserve">seoulyh.go.kr </t>
  </si>
  <si>
    <t>중랑구</t>
  </si>
  <si>
    <t>망우동</t>
  </si>
  <si>
    <t>망우청소년센터</t>
  </si>
  <si>
    <t>재단법인서울기독교청년유지회</t>
  </si>
  <si>
    <t>서울시 중랑구 송림길 156</t>
  </si>
  <si>
    <t>02-492-7942</t>
  </si>
  <si>
    <t>02-492-7941</t>
  </si>
  <si>
    <t xml:space="preserve">mangwoo.kr </t>
  </si>
  <si>
    <t>면목동</t>
  </si>
  <si>
    <t xml:space="preserve">중랑청소년센터 </t>
  </si>
  <si>
    <t xml:space="preserve">서울시 중랑구 용마산로 217 </t>
  </si>
  <si>
    <t>02-490-0114</t>
  </si>
  <si>
    <t>02-490-0300</t>
  </si>
  <si>
    <t>www.jjang.or.kr</t>
  </si>
  <si>
    <t>금정구</t>
  </si>
  <si>
    <t>금성동</t>
  </si>
  <si>
    <t>오마이랜드부산</t>
  </si>
  <si>
    <t>혜화학원</t>
  </si>
  <si>
    <t>부산시 금정구 산성로 470</t>
  </si>
  <si>
    <t>051-850-3103</t>
  </si>
  <si>
    <t>부곡동</t>
  </si>
  <si>
    <t>금정청소년수련관</t>
  </si>
  <si>
    <t>부산광역시장</t>
  </si>
  <si>
    <t>(재)금정총림범어청소년동네</t>
  </si>
  <si>
    <t>부산시 금정구 기찰로 96번길 47</t>
  </si>
  <si>
    <t>051-581-2070</t>
  </si>
  <si>
    <t>051-514-6881</t>
  </si>
  <si>
    <t>www.youthcool.or.kr</t>
  </si>
  <si>
    <t>기장군</t>
  </si>
  <si>
    <t>정관읍</t>
  </si>
  <si>
    <t>기장군청소년수련관</t>
  </si>
  <si>
    <t>군립</t>
  </si>
  <si>
    <t>기장군수</t>
  </si>
  <si>
    <t>기장군도시관리공단</t>
  </si>
  <si>
    <t>부산광역시시 기장군 정관읍 달음산길 106</t>
  </si>
  <si>
    <t>051-792-4710</t>
  </si>
  <si>
    <t>051-728-4506</t>
  </si>
  <si>
    <t>http://www.gijangcmc.or.kr/youth/</t>
  </si>
  <si>
    <t>장안읍</t>
  </si>
  <si>
    <t>기장문화예절학교</t>
  </si>
  <si>
    <t>부산시 기장군 장안읍 해맞이로 311-31</t>
  </si>
  <si>
    <t>지하1층, 지상2층</t>
  </si>
  <si>
    <t>051-792-4720</t>
  </si>
  <si>
    <t>051-728-8022</t>
  </si>
  <si>
    <t>http://www.gijangcmc.or.kr/gcdyc/</t>
  </si>
  <si>
    <t>기장읍</t>
  </si>
  <si>
    <t>기장청소년센터</t>
  </si>
  <si>
    <t>부산광역시 기장군 기장읍 차성로 417번길 11</t>
  </si>
  <si>
    <t>지상1층</t>
  </si>
  <si>
    <t>051-792-4980</t>
  </si>
  <si>
    <t>051-724-4981</t>
  </si>
  <si>
    <t>https://www.gijangcmc.or.kr/youthcenter/</t>
  </si>
  <si>
    <t>남구</t>
  </si>
  <si>
    <t>대연동</t>
  </si>
  <si>
    <t>그랜드모먼트유스호스텔</t>
  </si>
  <si>
    <t>㈜학승 김도환</t>
  </si>
  <si>
    <t>부산광역시 남구 황령대로 401-9</t>
  </si>
  <si>
    <t>지하5층~지상6층</t>
  </si>
  <si>
    <t>2022.09.30</t>
  </si>
  <si>
    <t>051-922-2200</t>
  </si>
  <si>
    <t>051-922-2217</t>
  </si>
  <si>
    <t>www.grandmoment.co.kr/</t>
  </si>
  <si>
    <t>동래구</t>
  </si>
  <si>
    <t>명륜동</t>
  </si>
  <si>
    <t>동래구청소년수련관</t>
  </si>
  <si>
    <t>동래구청장</t>
  </si>
  <si>
    <t>사단법인부산광역시청소년수련시설협회</t>
  </si>
  <si>
    <t>부산광역시 동래구 문화로 90(명륜동)</t>
  </si>
  <si>
    <t>지하1층~지상3층</t>
  </si>
  <si>
    <t>2023.01.18.</t>
  </si>
  <si>
    <t>051-988-0924</t>
  </si>
  <si>
    <t>051-988-0925</t>
  </si>
  <si>
    <t>www.onnainna.kr</t>
  </si>
  <si>
    <t>부산진구</t>
  </si>
  <si>
    <t>양정동</t>
  </si>
  <si>
    <t>화지청소년문화회관</t>
  </si>
  <si>
    <t>동래정씨대종중</t>
  </si>
  <si>
    <t>부산시 부산진구 동평로 335(양정동)</t>
  </si>
  <si>
    <t>051-853-8079</t>
  </si>
  <si>
    <t>051-853-8082</t>
  </si>
  <si>
    <t>부산광역시양정청소년수련관</t>
  </si>
  <si>
    <t>(재)안국청소년도량</t>
  </si>
  <si>
    <t>부산광역시 부산진구 동평로 405번길 85</t>
  </si>
  <si>
    <t>051-868-0750</t>
  </si>
  <si>
    <t>051-868-1258</t>
  </si>
  <si>
    <t>www.power1318.org</t>
  </si>
  <si>
    <t>부전동</t>
  </si>
  <si>
    <t>부산진구 부전 청소년센터</t>
  </si>
  <si>
    <t>부산진구청장</t>
  </si>
  <si>
    <t>사단법인 틴스토리</t>
  </si>
  <si>
    <t>부산시 부산진구 범전로5번길 13(부전동)</t>
  </si>
  <si>
    <t>지상3층~5층</t>
  </si>
  <si>
    <t>051-807-4864</t>
  </si>
  <si>
    <t>051-996-6300</t>
  </si>
  <si>
    <t>www.teenstory.kr</t>
  </si>
  <si>
    <t>전포동</t>
  </si>
  <si>
    <t>부산진구 전포 청소년센터</t>
  </si>
  <si>
    <t>부산와이엠씨에이 재단법인</t>
  </si>
  <si>
    <t>부산시 부산진구 진남로328번길 62(전포동)</t>
  </si>
  <si>
    <t>051-805-3114</t>
  </si>
  <si>
    <t>051-805-3117</t>
  </si>
  <si>
    <t>www.jinguzzang.com</t>
  </si>
  <si>
    <t>가야동</t>
  </si>
  <si>
    <t>부산진구 가야 청소년센터</t>
  </si>
  <si>
    <t>(사)삼동청소년회</t>
  </si>
  <si>
    <t>부산시 부산진구 엄광로147번길 37(가야동)</t>
  </si>
  <si>
    <t>051-900-7455</t>
  </si>
  <si>
    <t>051-900-7456</t>
  </si>
  <si>
    <t>www.gayayouth.or.kr</t>
  </si>
  <si>
    <t>북구</t>
  </si>
  <si>
    <t>금곡동</t>
  </si>
  <si>
    <t>금곡청소년수련관</t>
  </si>
  <si>
    <t>부산시 북구 효열로 158 (금곡동)</t>
  </si>
  <si>
    <t>지하2층 지상3층</t>
  </si>
  <si>
    <t>051-361-6685</t>
  </si>
  <si>
    <t>051-361-2289</t>
  </si>
  <si>
    <t>www.kum-gok.or.kr</t>
  </si>
  <si>
    <t>만덕동</t>
  </si>
  <si>
    <t>북구청소년문화의집</t>
  </si>
  <si>
    <t>북구청장</t>
  </si>
  <si>
    <t>부산시 북구 만덕2로 44번길 10</t>
  </si>
  <si>
    <t>지상3,4층</t>
  </si>
  <si>
    <t>051-333-0729</t>
  </si>
  <si>
    <t>051-333-0730</t>
  </si>
  <si>
    <t>www.bkyouth.or.kr</t>
  </si>
  <si>
    <t>사상구</t>
  </si>
  <si>
    <t>모라동</t>
  </si>
  <si>
    <t>사상구청소년수련관</t>
  </si>
  <si>
    <t>사상구청장</t>
  </si>
  <si>
    <t>부산시 사상구 덕상로 129</t>
  </si>
  <si>
    <t xml:space="preserve">지하1층,지상3층 </t>
  </si>
  <si>
    <t>051-316-2214</t>
  </si>
  <si>
    <t>051-316-2218</t>
  </si>
  <si>
    <t>www.yzzang.bomgreen.kr</t>
  </si>
  <si>
    <t>사하구</t>
  </si>
  <si>
    <t>다대동</t>
  </si>
  <si>
    <t>사하구청소년문화의집</t>
  </si>
  <si>
    <t>사하구청장</t>
  </si>
  <si>
    <t>(재)내원청소년단</t>
  </si>
  <si>
    <t>부산시 사하구 다대로 716-1</t>
  </si>
  <si>
    <t>051-261-0924</t>
  </si>
  <si>
    <t>051-261-0926</t>
  </si>
  <si>
    <t xml:space="preserve">www.sahayouth.or.kr </t>
  </si>
  <si>
    <t>하단동</t>
  </si>
  <si>
    <t>국립청소년생태센터</t>
  </si>
  <si>
    <t>국립</t>
  </si>
  <si>
    <t>여성가족부</t>
  </si>
  <si>
    <t>한국청소년활동진흥원</t>
  </si>
  <si>
    <t>부산 사하구 하단동 1142-10</t>
  </si>
  <si>
    <t>051-330-1000</t>
  </si>
  <si>
    <t>051-201-0676</t>
  </si>
  <si>
    <t>nyec.kywa.or.kr</t>
  </si>
  <si>
    <t>서구</t>
  </si>
  <si>
    <t>서대신동</t>
  </si>
  <si>
    <t>구덕청소년수련관</t>
  </si>
  <si>
    <t>서구청장</t>
  </si>
  <si>
    <t>부산시 서구 꽃마을로156번길 109</t>
  </si>
  <si>
    <t>051-246-4685</t>
  </si>
  <si>
    <t>051-246-4689</t>
  </si>
  <si>
    <t xml:space="preserve">www.gudeok.go.kr </t>
  </si>
  <si>
    <t>구덕야영장</t>
  </si>
  <si>
    <t xml:space="preserve">부산시 서구 꽃마을로156번길 109 </t>
  </si>
  <si>
    <t xml:space="preserve">지상1층 </t>
  </si>
  <si>
    <t>남부민동</t>
  </si>
  <si>
    <t>서구청소년문화의집</t>
  </si>
  <si>
    <t>부산시 서구 천마로 87 3~5층</t>
  </si>
  <si>
    <t>지상3,4,5층</t>
  </si>
  <si>
    <t>051-257-9162</t>
  </si>
  <si>
    <t>051-241-6651</t>
  </si>
  <si>
    <t>seoguyouth.co.kr</t>
  </si>
  <si>
    <t>수영구</t>
  </si>
  <si>
    <t>광안동</t>
  </si>
  <si>
    <t>금련산청소년수련원</t>
  </si>
  <si>
    <t>부산광역시</t>
  </si>
  <si>
    <t>부산시 수영구 황령산로 156</t>
  </si>
  <si>
    <t>생활관1동(지하1층,지상3층),별동7동</t>
  </si>
  <si>
    <t>051-610-3221</t>
  </si>
  <si>
    <t>051-610-3299</t>
  </si>
  <si>
    <t>http://www.busan.go.kr/youth/index</t>
  </si>
  <si>
    <t>수영구청소년문화의집</t>
  </si>
  <si>
    <t>수영구청장</t>
  </si>
  <si>
    <t>금정총림범어청소년동네</t>
  </si>
  <si>
    <t>부산시 수영구 수영로521번길 77</t>
  </si>
  <si>
    <t>051-791-1318</t>
  </si>
  <si>
    <t>051-791-1320</t>
  </si>
  <si>
    <t>www.seeyouth.or.kr</t>
  </si>
  <si>
    <t>영도구</t>
  </si>
  <si>
    <t>동삼동</t>
  </si>
  <si>
    <t>함지골청소년수련관</t>
  </si>
  <si>
    <t>부산시 영도구 절영로 321(동삼동)</t>
  </si>
  <si>
    <t>051-405-5223</t>
  </si>
  <si>
    <t>051-403-0147</t>
  </si>
  <si>
    <t xml:space="preserve">www.hamji.or.kr </t>
  </si>
  <si>
    <t>보수동</t>
  </si>
  <si>
    <t>중구청소년문화의집</t>
  </si>
  <si>
    <t>부산시 중구 보수대로 124번길 24-2</t>
  </si>
  <si>
    <t>051-247-8425</t>
  </si>
  <si>
    <t>051-247-9860</t>
  </si>
  <si>
    <t xml:space="preserve">www.purun1318.org </t>
  </si>
  <si>
    <t>해운대구</t>
  </si>
  <si>
    <t>반송동</t>
  </si>
  <si>
    <t>해운대청소년문화의집</t>
  </si>
  <si>
    <t>해운대구청장</t>
  </si>
  <si>
    <t>해운대구청</t>
  </si>
  <si>
    <t>부산시 해운대구 반송순환로 135</t>
  </si>
  <si>
    <t>지상3층,야외공연장</t>
  </si>
  <si>
    <t>051-749-6273</t>
  </si>
  <si>
    <t>051-749-4359</t>
  </si>
  <si>
    <t>http://www.haeundae.go.kr/young/</t>
  </si>
  <si>
    <t>우동</t>
  </si>
  <si>
    <t>부산도시공사 아르피나</t>
  </si>
  <si>
    <t>부산도시공사</t>
  </si>
  <si>
    <t>부산시 해운대해변로35(우동)</t>
  </si>
  <si>
    <t xml:space="preserve">지하3층,지상8층 </t>
  </si>
  <si>
    <t>051-740-3281</t>
  </si>
  <si>
    <t>051-740-3225</t>
  </si>
  <si>
    <t>www.arpina.co.kr</t>
  </si>
  <si>
    <t>재송동</t>
  </si>
  <si>
    <t>해운대청소년수련관</t>
  </si>
  <si>
    <t>부산시 해운대구 재반로 151-21</t>
  </si>
  <si>
    <t>051-780-1800</t>
  </si>
  <si>
    <t>051-780-1801</t>
  </si>
  <si>
    <t xml:space="preserve">www.ymcahy.or.kr </t>
  </si>
  <si>
    <t>군위군</t>
  </si>
  <si>
    <t>군위읍</t>
  </si>
  <si>
    <t>군위청소년문화의집</t>
  </si>
  <si>
    <t>군위군수</t>
  </si>
  <si>
    <t>군위군청</t>
  </si>
  <si>
    <t>대구시 군위군 군위읍 군청로 158, 지하1층</t>
  </si>
  <si>
    <t>지하1층</t>
  </si>
  <si>
    <t>054-380-6228(담당자)</t>
  </si>
  <si>
    <t>054-380-6169</t>
  </si>
  <si>
    <t>http://www.gunwiart.go.kr/</t>
  </si>
  <si>
    <t>군위군청소년수련원</t>
  </si>
  <si>
    <t>(재)대구가톨릭청소년회</t>
  </si>
  <si>
    <t>대구시 군위군 군위읍 군위금성로 307-14</t>
  </si>
  <si>
    <t>054-383-0317</t>
  </si>
  <si>
    <t>054-383-0319</t>
  </si>
  <si>
    <t>http://www.gwyouth.com</t>
  </si>
  <si>
    <t>대명동</t>
  </si>
  <si>
    <t>대구광역시청소년문화의집</t>
  </si>
  <si>
    <t>대구광역시장</t>
  </si>
  <si>
    <t>대구광역시행복진흥사회서비스원</t>
  </si>
  <si>
    <t>대구시 남구 명덕로 34길 16</t>
  </si>
  <si>
    <t>053-661-1318</t>
  </si>
  <si>
    <t>053-661-1320</t>
  </si>
  <si>
    <t xml:space="preserve">www.dg1318.net </t>
  </si>
  <si>
    <t>남구청소년창작센터</t>
  </si>
  <si>
    <t>남구청장</t>
  </si>
  <si>
    <t>대구광역시 남구청</t>
  </si>
  <si>
    <t>대구시 남구 중앙대로45길 53</t>
  </si>
  <si>
    <t>053-664-3103</t>
  </si>
  <si>
    <t>053-664-3109</t>
  </si>
  <si>
    <t>https://nam.daegu.kr/youthlab/index.do</t>
  </si>
  <si>
    <t>봉덕동</t>
  </si>
  <si>
    <t>대구청소년창의센터 꿈&amp;꿈</t>
  </si>
  <si>
    <t>대구시 남구 봉덕로 45</t>
  </si>
  <si>
    <t>053-474-4840</t>
  </si>
  <si>
    <t>053-214-4840</t>
  </si>
  <si>
    <t>www.dgdream45.or.kr</t>
  </si>
  <si>
    <t>달서구</t>
  </si>
  <si>
    <t>상인동</t>
  </si>
  <si>
    <t>달서구청소년수련관</t>
  </si>
  <si>
    <t>달서구청장</t>
  </si>
  <si>
    <t>계명문화대학교</t>
  </si>
  <si>
    <t>대구광역시 달서구 상화로 420</t>
  </si>
  <si>
    <t>053-639-7101</t>
  </si>
  <si>
    <t>053-639-7106</t>
  </si>
  <si>
    <t>https://www.dsyc.or.kr:1443</t>
  </si>
  <si>
    <t>송현동</t>
  </si>
  <si>
    <t>대구광역시청소년수련원</t>
  </si>
  <si>
    <t>대구시 달서구 앞산순환로180</t>
  </si>
  <si>
    <t>053-656-6655</t>
  </si>
  <si>
    <t>053-653-2054</t>
  </si>
  <si>
    <t xml:space="preserve">www.dgyouth.net </t>
  </si>
  <si>
    <t>대천동</t>
  </si>
  <si>
    <t>달서구청소년문화의집</t>
  </si>
  <si>
    <t>구미대학교</t>
  </si>
  <si>
    <t>대구광역시 달서구 조암로 129</t>
  </si>
  <si>
    <t>지상3~5층</t>
  </si>
  <si>
    <t>053-218-1318</t>
  </si>
  <si>
    <t>053-218-1319</t>
  </si>
  <si>
    <t>www.dsm1318.org</t>
  </si>
  <si>
    <t>달성군</t>
  </si>
  <si>
    <t>논공읍</t>
  </si>
  <si>
    <t>달성군청소년센터</t>
  </si>
  <si>
    <t>달성군수</t>
  </si>
  <si>
    <t>(재)달성복지재단</t>
  </si>
  <si>
    <t>대구시 달성군 논공읍 논공로 252</t>
  </si>
  <si>
    <t>053-617-1388</t>
  </si>
  <si>
    <t>053-617-1390</t>
  </si>
  <si>
    <t xml:space="preserve">www.dsyc.kr </t>
  </si>
  <si>
    <t>가창면</t>
  </si>
  <si>
    <t>달성군청소년문화의집</t>
  </si>
  <si>
    <t>대구시 달성군 가창면 가창로 220길 8</t>
  </si>
  <si>
    <t>053-765-1388</t>
  </si>
  <si>
    <t>053-765-1390</t>
  </si>
  <si>
    <t xml:space="preserve">www.dsycc.kr </t>
  </si>
  <si>
    <t>유가읍</t>
  </si>
  <si>
    <t>비슬산유스호스텔</t>
  </si>
  <si>
    <t>달성군시설관리공단</t>
  </si>
  <si>
    <t>대구시 달성군 유가면 일연선사길 10</t>
  </si>
  <si>
    <t>6,148,12</t>
  </si>
  <si>
    <t>053-610-5700</t>
  </si>
  <si>
    <t>053-610-5799</t>
  </si>
  <si>
    <t>http://www.hotelazalea.or.kr/</t>
  </si>
  <si>
    <t>동구</t>
  </si>
  <si>
    <t>신암동</t>
  </si>
  <si>
    <t>동구청소년문화의집</t>
  </si>
  <si>
    <t>동구청장</t>
  </si>
  <si>
    <t>(사)대구경북흥사단</t>
  </si>
  <si>
    <t>대구시 동구 아양로9길 36(신암동)</t>
  </si>
  <si>
    <t>053-956-3415</t>
  </si>
  <si>
    <t>053-956-1388</t>
  </si>
  <si>
    <t>http://dgdgych.co.kr</t>
  </si>
  <si>
    <t>율하동</t>
  </si>
  <si>
    <t>동구청소년문화의집 아름드리</t>
  </si>
  <si>
    <t>(사)대한불교조계종 마하야나불교문화원</t>
  </si>
  <si>
    <t>대구시 동구 안심로16길 51(율하동)</t>
  </si>
  <si>
    <t>053-964-0924</t>
  </si>
  <si>
    <t>053-964-0920</t>
  </si>
  <si>
    <t>http://areumdree.or.kr</t>
  </si>
  <si>
    <t>진인동</t>
  </si>
  <si>
    <t>팔공산맥섬석유스호스텔</t>
  </si>
  <si>
    <t>곽성근</t>
  </si>
  <si>
    <t>㈜팔공산맥섬석유스호스텔</t>
  </si>
  <si>
    <t>대구시 동구 갓바위로 223-35</t>
  </si>
  <si>
    <t>053-985-8000</t>
  </si>
  <si>
    <t>053-985-8113</t>
  </si>
  <si>
    <t>http://www.mssyh.com</t>
  </si>
  <si>
    <t>산격동</t>
  </si>
  <si>
    <t>북구청소년회관</t>
  </si>
  <si>
    <t>(재)대구광역시북구청소년교육진흥재단</t>
  </si>
  <si>
    <t>대구시 북구 검단로 71-17</t>
  </si>
  <si>
    <t>053-384-6982</t>
  </si>
  <si>
    <t>053-665-2199</t>
  </si>
  <si>
    <t>https://www.bukguzzang.co.kr/</t>
  </si>
  <si>
    <t>읍내동</t>
  </si>
  <si>
    <t>북구청소년문화의집 별하누리</t>
  </si>
  <si>
    <t>대구시 북구 칠곡중앙대로 561</t>
  </si>
  <si>
    <t>053-323-1318</t>
  </si>
  <si>
    <t>053-325-1318</t>
  </si>
  <si>
    <t>http://www.bukguycc.co.kr/</t>
  </si>
  <si>
    <t>이현동</t>
  </si>
  <si>
    <t>서구청소년수련관</t>
  </si>
  <si>
    <t>함께하는 마음재단</t>
  </si>
  <si>
    <t>대구시 서구 문화로 122</t>
  </si>
  <si>
    <t>지하2층,지상2층</t>
  </si>
  <si>
    <t>053-572-2453</t>
  </si>
  <si>
    <t>053-572-2458</t>
  </si>
  <si>
    <t xml:space="preserve">www.seoguyouth.or.kr </t>
  </si>
  <si>
    <t>중리동</t>
  </si>
  <si>
    <t>대구광역시청소년문화의집꼼지락발전소</t>
  </si>
  <si>
    <t>대구시 서구 국채보상로 34길 48-1(중리동)</t>
  </si>
  <si>
    <t>지하1,지상5</t>
  </si>
  <si>
    <t>053-216-2360</t>
  </si>
  <si>
    <t>053-216-2364</t>
  </si>
  <si>
    <t>www.꼼지.com</t>
  </si>
  <si>
    <t>수성구</t>
  </si>
  <si>
    <t>황금동</t>
  </si>
  <si>
    <t>수성구청소년수련관</t>
  </si>
  <si>
    <t>수성구청장</t>
  </si>
  <si>
    <t>(사)마하야나불교문화원</t>
  </si>
  <si>
    <t>대구시 수성구 청수로45길 100</t>
  </si>
  <si>
    <t>지상4층, 실내체육관</t>
  </si>
  <si>
    <t>053-761-9400</t>
  </si>
  <si>
    <t>053-761-9347</t>
  </si>
  <si>
    <t xml:space="preserve">www.gaja.or.kr </t>
  </si>
  <si>
    <t>범물동</t>
  </si>
  <si>
    <t>수성구청소년수련원</t>
  </si>
  <si>
    <t>대구광역시 수성구 진밭길 409</t>
  </si>
  <si>
    <t>053-784-1318</t>
  </si>
  <si>
    <t>053-784-1320</t>
  </si>
  <si>
    <t xml:space="preserve">www.suseongyouth.kr </t>
  </si>
  <si>
    <t>시지동</t>
  </si>
  <si>
    <t>수성구청소년문화의집</t>
  </si>
  <si>
    <t>(사) 흥사단(소관:대구경북흥사단)</t>
  </si>
  <si>
    <t>대구시 수성구 천을로 34</t>
  </si>
  <si>
    <t>053-793-3415</t>
  </si>
  <si>
    <t>053-793-3416</t>
  </si>
  <si>
    <t>www.수성구청소년문화의집.org</t>
  </si>
  <si>
    <t>봉산동</t>
  </si>
  <si>
    <t>대구광역시 중구청(직영)</t>
  </si>
  <si>
    <t>대구시 중구 봉산문화길 40</t>
  </si>
  <si>
    <t>053-661-3278</t>
  </si>
  <si>
    <t>053-661-2349</t>
  </si>
  <si>
    <t>https://www.jung.daegu.kr/new/youth/pages/main/</t>
  </si>
  <si>
    <t>강화군</t>
  </si>
  <si>
    <t>강화읍</t>
  </si>
  <si>
    <t>강화군청소년수련관</t>
  </si>
  <si>
    <t>강화군수</t>
  </si>
  <si>
    <t>강화군시설관리공단</t>
  </si>
  <si>
    <t>인천시 강화군 강화읍 강화대로 154</t>
  </si>
  <si>
    <t>032-930-7099</t>
  </si>
  <si>
    <t>032-932-9470</t>
  </si>
  <si>
    <t>http://www.ghss.or.kr/</t>
  </si>
  <si>
    <t>강화군청소년문화의집</t>
  </si>
  <si>
    <t>인천시 강화군 강화읍 향나무길 22번길 20</t>
  </si>
  <si>
    <t>032-930-7049</t>
  </si>
  <si>
    <t>선원면</t>
  </si>
  <si>
    <t>강화성산청소년수련원</t>
  </si>
  <si>
    <t>재)성산청소년효재단</t>
  </si>
  <si>
    <t>인천시 강화군 선원면 충렬사로 178번길 116</t>
  </si>
  <si>
    <t>032-934-0403</t>
  </si>
  <si>
    <t>032-934-1756</t>
  </si>
  <si>
    <t xml:space="preserve">www.sungsanyouth.com </t>
  </si>
  <si>
    <t>하점면</t>
  </si>
  <si>
    <t>신화유스호스텔</t>
  </si>
  <si>
    <t>주)신화교육문화</t>
  </si>
  <si>
    <t>㈜신화교육문화</t>
  </si>
  <si>
    <t>인천시 강화군 하점면 창후로 288번길 52</t>
  </si>
  <si>
    <t>032-932-7501</t>
  </si>
  <si>
    <t>032-932-7608</t>
  </si>
  <si>
    <t>www.sinhwayh.com</t>
  </si>
  <si>
    <t>길상면</t>
  </si>
  <si>
    <t>그레이스힐청소년수련원</t>
  </si>
  <si>
    <t xml:space="preserve">서울도시가스㈜ </t>
  </si>
  <si>
    <t>서울도시가스㈜</t>
  </si>
  <si>
    <t>인천시 강화군 길상면 해안남로 842-10</t>
  </si>
  <si>
    <t>지하3층 지상4층</t>
  </si>
  <si>
    <t>032-930-9302</t>
  </si>
  <si>
    <t>032-930-9309</t>
  </si>
  <si>
    <t xml:space="preserve">www.scggracehill.co.kr </t>
  </si>
  <si>
    <t>계양구</t>
  </si>
  <si>
    <t>방축동</t>
  </si>
  <si>
    <t>계양구청소년수련관</t>
  </si>
  <si>
    <t>계양구청장</t>
  </si>
  <si>
    <t>인천광역시계양구시설관리공단</t>
  </si>
  <si>
    <t>인천 계양구 장제로 937</t>
  </si>
  <si>
    <t>032-546-7646</t>
  </si>
  <si>
    <t>032-545-4179</t>
  </si>
  <si>
    <t>http://www.gysiseol.or.kr</t>
  </si>
  <si>
    <t>효성동</t>
  </si>
  <si>
    <t>계양청소년문화의집</t>
  </si>
  <si>
    <t>인천 계양구 봉오대로600번길 20</t>
  </si>
  <si>
    <t>032-262-7334</t>
  </si>
  <si>
    <t>032-262-7340</t>
  </si>
  <si>
    <t>url.kr/n4w7be</t>
  </si>
  <si>
    <t>남동구</t>
  </si>
  <si>
    <t>장수동</t>
  </si>
  <si>
    <t>인천광역시청소년수련관</t>
  </si>
  <si>
    <t>인천광역시장</t>
  </si>
  <si>
    <t>인천시설공단</t>
  </si>
  <si>
    <t>인천시 남동구 장수로 42</t>
  </si>
  <si>
    <t>032)456-2420</t>
  </si>
  <si>
    <t>032)456-2459</t>
  </si>
  <si>
    <t>www.insiseol.or.kr</t>
  </si>
  <si>
    <t>만수동</t>
  </si>
  <si>
    <t>남동청소년문화의집</t>
  </si>
  <si>
    <t>남동구청장</t>
  </si>
  <si>
    <t>인천시 남동구 만수서로 70</t>
  </si>
  <si>
    <t>032)466-2640</t>
  </si>
  <si>
    <t>032)466-2998</t>
  </si>
  <si>
    <t>www.ndyouth.or.kr</t>
  </si>
  <si>
    <t>송림동</t>
  </si>
  <si>
    <t>동구청소년수련관</t>
  </si>
  <si>
    <t>인천 동구청</t>
  </si>
  <si>
    <t>(재)성산청소년효재단</t>
  </si>
  <si>
    <t>인천시 동구 솔빛로 82</t>
  </si>
  <si>
    <t>032-777-7942</t>
  </si>
  <si>
    <t>032-777-2800</t>
  </si>
  <si>
    <t xml:space="preserve">www.youth7942.or.kr </t>
  </si>
  <si>
    <t>미추홀구</t>
  </si>
  <si>
    <t>숭의동</t>
  </si>
  <si>
    <t>미추홀구청소년수련관</t>
  </si>
  <si>
    <t>미추홀구청장</t>
  </si>
  <si>
    <t>인천시 미추홀구 경인로 42번길 23</t>
  </si>
  <si>
    <t>지하1층,지상3층,별관</t>
  </si>
  <si>
    <t>032-887-5270</t>
  </si>
  <si>
    <t>032)884-0024</t>
  </si>
  <si>
    <t>www.icyouth.or.kr</t>
  </si>
  <si>
    <t>부평구</t>
  </si>
  <si>
    <t>삼산동</t>
  </si>
  <si>
    <t>부평구청소년수련관</t>
  </si>
  <si>
    <t>부평구청장</t>
  </si>
  <si>
    <t>(재)인천부평구문화재단</t>
  </si>
  <si>
    <t>인천시 부평구 체육관로 76</t>
  </si>
  <si>
    <t>032-500-2200</t>
  </si>
  <si>
    <t>032-500-2202</t>
  </si>
  <si>
    <t>https://portal.icbp.go.kr/bpy/</t>
  </si>
  <si>
    <t>청천동</t>
  </si>
  <si>
    <t>부평구청소년꿈나래터</t>
  </si>
  <si>
    <t>인천시 부평구 산청로 129</t>
  </si>
  <si>
    <t>032-299-3100</t>
  </si>
  <si>
    <t>032-299-3109</t>
  </si>
  <si>
    <t>https://www.bpyouth-dream.kr/</t>
  </si>
  <si>
    <t>원창동</t>
  </si>
  <si>
    <t>서구청소년센터</t>
  </si>
  <si>
    <t>서구시설관리공단</t>
  </si>
  <si>
    <t>인천시 서구 원창로 92</t>
  </si>
  <si>
    <t>032-577-7979</t>
  </si>
  <si>
    <t>032-571-6473</t>
  </si>
  <si>
    <t>www.issi.or.kr</t>
  </si>
  <si>
    <t>연희청소년센터</t>
  </si>
  <si>
    <t>인천시 서구 승학로 264</t>
  </si>
  <si>
    <t>지상2,3,4층</t>
  </si>
  <si>
    <t>032-561-5566</t>
  </si>
  <si>
    <t>032-561-6030</t>
  </si>
  <si>
    <t>마전동</t>
  </si>
  <si>
    <t>검단청소년센터</t>
  </si>
  <si>
    <t>인천시 서구 완정로 188번길3</t>
  </si>
  <si>
    <t>032-569-2335</t>
  </si>
  <si>
    <t>032-569-2338</t>
  </si>
  <si>
    <t>가좌동</t>
  </si>
  <si>
    <t>가좌청소년센터</t>
  </si>
  <si>
    <t>인천시 서구 원적로 7번길 12</t>
  </si>
  <si>
    <t>032-580-1190</t>
  </si>
  <si>
    <t>032-580-1195</t>
  </si>
  <si>
    <t>연수구</t>
  </si>
  <si>
    <t>동춘동</t>
  </si>
  <si>
    <t>연수구청소년수련관</t>
  </si>
  <si>
    <t>연수구청장</t>
  </si>
  <si>
    <t>(재)가톨릭아동청소년재단</t>
  </si>
  <si>
    <t>인천시 연수구 앵고개로 132</t>
  </si>
  <si>
    <t>032-833-2010</t>
  </si>
  <si>
    <t>032-883-2013</t>
  </si>
  <si>
    <t>www.pot0924.org</t>
  </si>
  <si>
    <t>청학동</t>
  </si>
  <si>
    <t>연수청소년문화의집</t>
  </si>
  <si>
    <t>인천 연수구 비류대로 299, 3층</t>
  </si>
  <si>
    <t>032-831-3660</t>
  </si>
  <si>
    <t>032-831-3661</t>
  </si>
  <si>
    <t>www.ysycc.kr</t>
  </si>
  <si>
    <t>옹진군</t>
  </si>
  <si>
    <t>영흥면</t>
  </si>
  <si>
    <t>서해오션빌유스호스텔</t>
  </si>
  <si>
    <t>김영화</t>
  </si>
  <si>
    <t>㈜피앤알</t>
  </si>
  <si>
    <t>인천시 옹진군 영흥면 선재리 14-1</t>
  </si>
  <si>
    <t>032-887-6100</t>
  </si>
  <si>
    <t>032-887-3003</t>
  </si>
  <si>
    <t>www.oceanvill.co.kr</t>
  </si>
  <si>
    <t>영흥도유스호스텔</t>
  </si>
  <si>
    <t>김병설</t>
  </si>
  <si>
    <t>㈜오페라</t>
  </si>
  <si>
    <t>인천시 옹진군 영흥면 영흥로 676</t>
  </si>
  <si>
    <t>032-882-8547</t>
  </si>
  <si>
    <t>백령면</t>
  </si>
  <si>
    <t>백령청소년문화의집</t>
  </si>
  <si>
    <t>옹진군수</t>
  </si>
  <si>
    <t>인천광역시 옹진군 백령면 백령로254번길 62-17</t>
  </si>
  <si>
    <t>032-836-1318</t>
  </si>
  <si>
    <t>070-4275-5501</t>
  </si>
  <si>
    <t>https://blog.naver.com/bnyouth1318</t>
  </si>
  <si>
    <t>운남동</t>
  </si>
  <si>
    <t>중구청소년수련관</t>
  </si>
  <si>
    <t>인천광역시중구시설관리공단</t>
  </si>
  <si>
    <t>인천시 중구 송산로 52</t>
  </si>
  <si>
    <t>032-850-1490</t>
  </si>
  <si>
    <t>032-751-7843</t>
  </si>
  <si>
    <t>youth.icjgss.or.kr</t>
  </si>
  <si>
    <t>광산구</t>
  </si>
  <si>
    <t>쌍암동</t>
  </si>
  <si>
    <t>광산구청소년수련관</t>
  </si>
  <si>
    <t>광산구청장</t>
  </si>
  <si>
    <t>(재)광주기독교청년회유지재단</t>
  </si>
  <si>
    <t>광주광역시 광산구 첨단중앙로 182번길 39</t>
  </si>
  <si>
    <t>062-971-5533</t>
  </si>
  <si>
    <t>062-973-9552</t>
  </si>
  <si>
    <t>http://www.gshiyouth.co.kr</t>
  </si>
  <si>
    <t xml:space="preserve">월곡동청소년문화의집 </t>
  </si>
  <si>
    <t>광산구청</t>
  </si>
  <si>
    <t>광주광역시 광산구 사암로340번안길 5</t>
  </si>
  <si>
    <t>062-960-6980</t>
  </si>
  <si>
    <t>062-960-3715</t>
  </si>
  <si>
    <t>http://yaho.gwangsan.go.kr/</t>
  </si>
  <si>
    <t>장덕동</t>
  </si>
  <si>
    <t>원당산청소년문화의집</t>
  </si>
  <si>
    <t>광주시장</t>
  </si>
  <si>
    <t>광주광역시 광산구 장덕로 96번길 15</t>
  </si>
  <si>
    <t>062-962-1388</t>
  </si>
  <si>
    <t>062-962-1366</t>
  </si>
  <si>
    <t>http://www.wdsyouth.co.kr</t>
  </si>
  <si>
    <t>송정동</t>
  </si>
  <si>
    <t>송정다누리청소년문화의집</t>
  </si>
  <si>
    <t>사단법인 화월주</t>
  </si>
  <si>
    <t>광주광역시 광산구 광산로 70</t>
  </si>
  <si>
    <t>062-716-1318</t>
  </si>
  <si>
    <t>062-716-1319</t>
  </si>
  <si>
    <t>sdy1318.or.kr</t>
  </si>
  <si>
    <t>봉선동</t>
  </si>
  <si>
    <t>광주남구청소년수련관</t>
  </si>
  <si>
    <t>학교법인 호심학원</t>
  </si>
  <si>
    <t>광주광역시 남구 봉선로 208</t>
  </si>
  <si>
    <t>지하1층,지상2~4층</t>
  </si>
  <si>
    <t>062-670-5000</t>
  </si>
  <si>
    <t>062-672-1060</t>
  </si>
  <si>
    <t xml:space="preserve">www.ngyouth.co.kr </t>
  </si>
  <si>
    <t>봉선청소년문화의집</t>
  </si>
  <si>
    <t>문화행동S#ARP</t>
  </si>
  <si>
    <t>광주광역시 남구 봉선중앙로 106</t>
  </si>
  <si>
    <t>지상 3층</t>
  </si>
  <si>
    <t>062-652-0924</t>
  </si>
  <si>
    <t>062-652-0925</t>
  </si>
  <si>
    <t>www.bsycc.net</t>
  </si>
  <si>
    <t>학동</t>
  </si>
  <si>
    <t>사단법인 파라미타청소년연합회</t>
  </si>
  <si>
    <t>광주광역시 동구 의재로 43번길 27-3</t>
  </si>
  <si>
    <t>지하2층~지상3층</t>
  </si>
  <si>
    <t>062-233-7224</t>
  </si>
  <si>
    <t>062-368-8042</t>
  </si>
  <si>
    <t>https://dgyouth1318.or.kr</t>
  </si>
  <si>
    <t>광주시청소년삶디자인센터</t>
  </si>
  <si>
    <t>전남대학교 산학협력단, (재)광주기독교청년회유지재단</t>
  </si>
  <si>
    <t>광주광역시 동구 중앙로 160번길 31-37</t>
  </si>
  <si>
    <t>본관동(지하1층~지상6층),안내동,숙직동,공유부엌</t>
  </si>
  <si>
    <t>062-232-1324</t>
  </si>
  <si>
    <t>062-233-1324</t>
  </si>
  <si>
    <t>http://samdi.or.kr/</t>
  </si>
  <si>
    <t>산수동</t>
  </si>
  <si>
    <t>사단법인 꿈과도전</t>
  </si>
  <si>
    <t>광주광역시 동구 필문대로 171번길 1-17</t>
  </si>
  <si>
    <t>062-251-1318</t>
  </si>
  <si>
    <t>062-251-1320</t>
  </si>
  <si>
    <t>http://동구청소년문화의집.com/</t>
  </si>
  <si>
    <t>문흥동</t>
  </si>
  <si>
    <t>북구청소년수련관</t>
  </si>
  <si>
    <t>한국청소년인권센터</t>
  </si>
  <si>
    <t>광주시 북구 대천로 86</t>
  </si>
  <si>
    <t>062-268-2321</t>
  </si>
  <si>
    <t>062-268-3055</t>
  </si>
  <si>
    <t xml:space="preserve">www.bukguyouth.net </t>
  </si>
  <si>
    <t>각화동</t>
  </si>
  <si>
    <t>각화청소년문화의집</t>
  </si>
  <si>
    <t>광주광역시 북구 각화대로 91</t>
  </si>
  <si>
    <t>062-262-1318</t>
  </si>
  <si>
    <t>062-262-1320</t>
  </si>
  <si>
    <t>www.ggycc.com</t>
  </si>
  <si>
    <t>용봉동</t>
  </si>
  <si>
    <t>용봉청소년문화의집</t>
  </si>
  <si>
    <t>(사)광주기독교청소년협회</t>
  </si>
  <si>
    <t>광주광역시 북구 비엔날레로 135</t>
  </si>
  <si>
    <t>062-710-0924</t>
  </si>
  <si>
    <t>062-710-0925</t>
  </si>
  <si>
    <t>www.ybyouth.kr</t>
  </si>
  <si>
    <t>일곡동</t>
  </si>
  <si>
    <t>일곡청소년문화의집</t>
  </si>
  <si>
    <t>광주광역시 북구 일곡택지로 33</t>
  </si>
  <si>
    <t>062-575-0924</t>
  </si>
  <si>
    <t>062-575-0911</t>
  </si>
  <si>
    <t>www.ilgokycc.kr</t>
  </si>
  <si>
    <t>금호동</t>
  </si>
  <si>
    <t>광주광역시 서구 마재로 3</t>
  </si>
  <si>
    <t>062-654-4320</t>
  </si>
  <si>
    <t>062-654-4310</t>
  </si>
  <si>
    <t xml:space="preserve"> www.ymcakwangju.or.kr</t>
  </si>
  <si>
    <t>치평동</t>
  </si>
  <si>
    <t>(사)화월주</t>
  </si>
  <si>
    <t>광주광역시 서구 상무공원로 136</t>
  </si>
  <si>
    <t>062-372-1318</t>
  </si>
  <si>
    <t>062-385-0430</t>
  </si>
  <si>
    <t>www.seoguyouth.com</t>
  </si>
  <si>
    <t>쌍촌동</t>
  </si>
  <si>
    <t>광천청소년문화의집</t>
  </si>
  <si>
    <t>이양수</t>
  </si>
  <si>
    <t>(사)광천사랑숲</t>
  </si>
  <si>
    <t>광주시 서구 칠성로 43번길 11</t>
  </si>
  <si>
    <t>062-714-3177</t>
  </si>
  <si>
    <t>062-714-3277</t>
  </si>
  <si>
    <t xml:space="preserve">www.gjyc.or.kr </t>
  </si>
  <si>
    <t>쌍촌청소년문화의집</t>
  </si>
  <si>
    <t>광주광역시 서구 상무오월로 23</t>
  </si>
  <si>
    <t>062-714-2040</t>
  </si>
  <si>
    <t>062-714-1531</t>
  </si>
  <si>
    <t>www.sscmz.com</t>
  </si>
  <si>
    <t>화정동</t>
  </si>
  <si>
    <t>광주광역시청소년수련원</t>
  </si>
  <si>
    <t>(재)한국천주교살레시오수녀회</t>
  </si>
  <si>
    <t>광주광역시 서구 학생독립로 37</t>
  </si>
  <si>
    <t>062-373-0942~4</t>
  </si>
  <si>
    <t>062-373-0945</t>
  </si>
  <si>
    <t>www.fmayouth.co.kr</t>
  </si>
  <si>
    <t>화정청소년문화의집</t>
  </si>
  <si>
    <t>광주시 서구 화정로 179번길 63</t>
  </si>
  <si>
    <t>062-375-1324</t>
  </si>
  <si>
    <t>062-375-1318</t>
  </si>
  <si>
    <t>대덕구</t>
  </si>
  <si>
    <t>법동</t>
  </si>
  <si>
    <t>법동청소년문화센터</t>
  </si>
  <si>
    <t>대덕구청장</t>
  </si>
  <si>
    <t>(재)대철청소년회</t>
  </si>
  <si>
    <t>대전시 대덕구 계족로 663번길 36</t>
  </si>
  <si>
    <t>042-628-1555</t>
  </si>
  <si>
    <t>042-635-0621</t>
  </si>
  <si>
    <t xml:space="preserve">www.dd1318.com </t>
  </si>
  <si>
    <t>대덕구청소년어울림센터</t>
  </si>
  <si>
    <t>대전시 대덕구 쌍청당로 25</t>
  </si>
  <si>
    <t>042-626-7728</t>
  </si>
  <si>
    <t>042-626-0226</t>
  </si>
  <si>
    <t>상소동</t>
  </si>
  <si>
    <t>동구청소년자연수련원</t>
  </si>
  <si>
    <t>사단법인 글로벌교육개발원</t>
  </si>
  <si>
    <t>대전시 동구 산내로 474번길 123</t>
  </si>
  <si>
    <t>042-274-2270</t>
  </si>
  <si>
    <t>042-273-3568</t>
  </si>
  <si>
    <t xml:space="preserve"> www.yntc.or.kr </t>
  </si>
  <si>
    <t>원동</t>
  </si>
  <si>
    <t>대전청소년위캔센터</t>
  </si>
  <si>
    <t>대전시장</t>
  </si>
  <si>
    <t>(사)대전YWCA</t>
  </si>
  <si>
    <t>대전시 동구 대전천동로 508</t>
  </si>
  <si>
    <t>지하2층,지상8층</t>
  </si>
  <si>
    <t>042-222-0924</t>
  </si>
  <si>
    <t>042-222-0940</t>
  </si>
  <si>
    <t xml:space="preserve">www.wecancenter.kr </t>
  </si>
  <si>
    <t>만년동</t>
  </si>
  <si>
    <t>평송청소년문화센터</t>
  </si>
  <si>
    <t>대전광역시청소년단체협의회</t>
  </si>
  <si>
    <t>대전시 서구 둔산대로 201</t>
  </si>
  <si>
    <t>042-480-1622</t>
  </si>
  <si>
    <t>042-480-1699</t>
  </si>
  <si>
    <t>www.pyoungsong.com</t>
  </si>
  <si>
    <t>도마동</t>
  </si>
  <si>
    <t>(사)월드유스비전</t>
  </si>
  <si>
    <t>대전시 서구 도마로 130</t>
  </si>
  <si>
    <t>042-528-1318</t>
  </si>
  <si>
    <t>042-528-0924</t>
  </si>
  <si>
    <t xml:space="preserve">www.dohwayouth.org </t>
  </si>
  <si>
    <t>가수원동</t>
  </si>
  <si>
    <t>도안청소년문화의집</t>
  </si>
  <si>
    <t>(사)온누리청소년문화재단</t>
  </si>
  <si>
    <t>대전시 서구 계백로 1111</t>
  </si>
  <si>
    <t>지상1층,지상2층</t>
  </si>
  <si>
    <t>042-541-1318</t>
  </si>
  <si>
    <t>042-545-0924</t>
  </si>
  <si>
    <t xml:space="preserve">www.doanyouth.com </t>
  </si>
  <si>
    <t>갈마동</t>
  </si>
  <si>
    <t>갈마청소년문화의집</t>
  </si>
  <si>
    <t>넥스트클럽 사회적협동조합</t>
  </si>
  <si>
    <t>대전시 서구 신갈마로155번길 38</t>
  </si>
  <si>
    <t>042-525-1318</t>
  </si>
  <si>
    <t>042-535-1318</t>
  </si>
  <si>
    <t xml:space="preserve">www.galma1318.com </t>
  </si>
  <si>
    <t>도솔청소년문화의집</t>
  </si>
  <si>
    <t>(사)흥사단 대전지부</t>
  </si>
  <si>
    <t>대전시 서구 배재로197번길 41</t>
  </si>
  <si>
    <t>042-525-1913</t>
  </si>
  <si>
    <t>042-531-1915</t>
  </si>
  <si>
    <t>http://www.dosolyouth.com/</t>
  </si>
  <si>
    <t>탄방동</t>
  </si>
  <si>
    <t>탄방동청소년문화의집</t>
  </si>
  <si>
    <t>소비자교육중앙회대전시지부</t>
  </si>
  <si>
    <t>대전시 서구 도솔로412번길 32</t>
  </si>
  <si>
    <t>042-524-2232</t>
  </si>
  <si>
    <t>042-524-2284</t>
  </si>
  <si>
    <t xml:space="preserve">www.tbyc.or.kr </t>
  </si>
  <si>
    <t>유성구</t>
  </si>
  <si>
    <t>죽동</t>
  </si>
  <si>
    <t>유성구청소년수련관</t>
  </si>
  <si>
    <t>유성구청장</t>
  </si>
  <si>
    <t xml:space="preserve"> 재단법인 대전YMCA유지재단</t>
  </si>
  <si>
    <t>대전시 유성구 북유성대로 158</t>
  </si>
  <si>
    <t>042-824-1318</t>
  </si>
  <si>
    <t>042-824-1319</t>
  </si>
  <si>
    <t xml:space="preserve">happyyc1318.or.kr </t>
  </si>
  <si>
    <t>장대동</t>
  </si>
  <si>
    <t>장대청소년문화의집</t>
  </si>
  <si>
    <t>대전시 유성구 유성대로730번길 51. 3층</t>
  </si>
  <si>
    <t>지상3층 일부</t>
  </si>
  <si>
    <t>042-825-1321</t>
  </si>
  <si>
    <t>042-825-1322</t>
  </si>
  <si>
    <t xml:space="preserve">youth.happyyc1318.or.kr </t>
  </si>
  <si>
    <t>구즉청소년문화의집</t>
  </si>
  <si>
    <t>대전시 유성구 금남구즉로 1428</t>
  </si>
  <si>
    <t>042-933-9725</t>
  </si>
  <si>
    <t>9jeukyc.co.kr</t>
  </si>
  <si>
    <t>침산동</t>
  </si>
  <si>
    <t>대전청소년수련마을</t>
  </si>
  <si>
    <t>대전 흥사단</t>
  </si>
  <si>
    <t>대전시 중구 방아미로 131</t>
  </si>
  <si>
    <t>042-285-0351</t>
  </si>
  <si>
    <t>042-285-0353</t>
  </si>
  <si>
    <t xml:space="preserve">www.djyouth.co.kr </t>
  </si>
  <si>
    <t>대흥동</t>
  </si>
  <si>
    <t xml:space="preserve">대흥동청소년문화의집 </t>
  </si>
  <si>
    <t>대전YWCA</t>
  </si>
  <si>
    <t>대전시 중구 대흥로 128</t>
  </si>
  <si>
    <t>042-224-1318</t>
  </si>
  <si>
    <t>042-242-1318</t>
  </si>
  <si>
    <t>https://djyouth1318.tistory.com/</t>
  </si>
  <si>
    <t>삼호동</t>
  </si>
  <si>
    <t>문수청소년센터</t>
  </si>
  <si>
    <t>사단법인 한국걸스카우트 울산연맹</t>
  </si>
  <si>
    <t>울산시 남구 북부순환도로 56</t>
  </si>
  <si>
    <t>지상7층</t>
  </si>
  <si>
    <t>052-223-3466</t>
  </si>
  <si>
    <t>052-223-3467</t>
  </si>
  <si>
    <t>https://www.ulsannamgu.go.kr/1388/cmm/main/794u.do</t>
  </si>
  <si>
    <t>공업탑청소년센터</t>
  </si>
  <si>
    <t>사단법인 마이코즈</t>
  </si>
  <si>
    <t>울산시 남구 봉월로14번길 55</t>
  </si>
  <si>
    <t>052-273-3011</t>
  </si>
  <si>
    <t>052-273-3022</t>
  </si>
  <si>
    <t>https://www.ulsannamgu.go.kr/1388/ustop1318/</t>
  </si>
  <si>
    <t>옥동</t>
  </si>
  <si>
    <t>청소년차오름센터</t>
  </si>
  <si>
    <t>울산시 남구 법대로81번길 1</t>
  </si>
  <si>
    <t>052-275-1388</t>
  </si>
  <si>
    <t>052-274-1388</t>
  </si>
  <si>
    <t>https://www.ulsannamgu.go.kr/1388/cha2751388/</t>
  </si>
  <si>
    <t>서부동</t>
  </si>
  <si>
    <t>남목청소년센터</t>
  </si>
  <si>
    <t>울산YMCA</t>
  </si>
  <si>
    <t>울산시 동구 남목9길 13</t>
  </si>
  <si>
    <t>지하 1층~지상 5층</t>
  </si>
  <si>
    <t>052-234-5850</t>
  </si>
  <si>
    <t>052-234-5839</t>
  </si>
  <si>
    <t>www.nammok.or.kr/</t>
  </si>
  <si>
    <t>동구청소년센터</t>
  </si>
  <si>
    <t>한국유네스코울산광역시협회</t>
  </si>
  <si>
    <t>울산시 동구 봉수로 155, 3층</t>
  </si>
  <si>
    <t>052-251-7925</t>
  </si>
  <si>
    <t>052-251-7924</t>
  </si>
  <si>
    <t>www.2517925.com</t>
  </si>
  <si>
    <t>연암동</t>
  </si>
  <si>
    <t>울산북구청소년문화의집</t>
  </si>
  <si>
    <t>(사)울산청소년교육문화공동체 함께</t>
  </si>
  <si>
    <t>울산시 북구 화봉로 80</t>
  </si>
  <si>
    <t>052-716-1318</t>
  </si>
  <si>
    <t>052-716-1319</t>
  </si>
  <si>
    <t>www.ubyouthcareer.com/</t>
  </si>
  <si>
    <t>중산동</t>
  </si>
  <si>
    <t>이화정청소년창작센터</t>
  </si>
  <si>
    <t>울산시 북구 이화1길 1</t>
  </si>
  <si>
    <t>2024.10.08</t>
  </si>
  <si>
    <t>052-700-1318</t>
  </si>
  <si>
    <t>050-4926-0330</t>
  </si>
  <si>
    <t>www.잘사는사람.com</t>
  </si>
  <si>
    <t>울주군</t>
  </si>
  <si>
    <t>삼남읍</t>
  </si>
  <si>
    <t>울주서부청소년수련관</t>
  </si>
  <si>
    <t>울주군수</t>
  </si>
  <si>
    <t>울주군시설관리공단</t>
  </si>
  <si>
    <t>울산시 울주군 삼남면 울산역로 345</t>
  </si>
  <si>
    <t>052-229-9400</t>
  </si>
  <si>
    <t>052-229-9429</t>
  </si>
  <si>
    <t>https://www.uljusiseol.or.kr/ujyouth/</t>
  </si>
  <si>
    <t>상북면</t>
  </si>
  <si>
    <t>삼동배내청소년수련원</t>
  </si>
  <si>
    <t>이순식</t>
  </si>
  <si>
    <t>사단법인삼동청소년회</t>
  </si>
  <si>
    <t>울산시 울주군 상북면 내리정길 75</t>
  </si>
  <si>
    <t>지상1층,지상4층</t>
  </si>
  <si>
    <t>052-254-1037</t>
  </si>
  <si>
    <t>052-254-1038</t>
  </si>
  <si>
    <t xml:space="preserve">www.bncamp.net/ </t>
  </si>
  <si>
    <t>범서읍</t>
  </si>
  <si>
    <t>울주중부청소년수련관</t>
  </si>
  <si>
    <t>울산시 울주군 범서읍 구영로 101-20</t>
  </si>
  <si>
    <t>052-229-9700</t>
  </si>
  <si>
    <t>052-229-9715</t>
  </si>
  <si>
    <t>https://www.uljusiseol.or.kr/uljujb/</t>
  </si>
  <si>
    <t>작천정별빛야영장</t>
  </si>
  <si>
    <t>울산시 울주군 상북면 자수정로 320</t>
  </si>
  <si>
    <t>오토캠핑장20면,야영데크58면,캐빈하우스10동</t>
  </si>
  <si>
    <t>052-204-1755</t>
  </si>
  <si>
    <t>052-204-1719</t>
  </si>
  <si>
    <t>https://camping.ulju.ulsan.kr</t>
  </si>
  <si>
    <t>온양읍</t>
  </si>
  <si>
    <t>울주 남부청소년수련관</t>
  </si>
  <si>
    <t>울산시 울주군 온양읍 동상로 60</t>
  </si>
  <si>
    <t>052-229-9770</t>
  </si>
  <si>
    <t>052-229-9799</t>
  </si>
  <si>
    <t>https://www.uljusiseol.or.kr/nambu/</t>
  </si>
  <si>
    <t>언양읍</t>
  </si>
  <si>
    <t>언양청소년야영장</t>
  </si>
  <si>
    <t>(재)율촌재단</t>
  </si>
  <si>
    <t>울산시 울주군 언양읍 신흥길 83-42</t>
  </si>
  <si>
    <t>지상2층,지상1층</t>
  </si>
  <si>
    <t>052-996-6060</t>
  </si>
  <si>
    <t>052-996-6061</t>
  </si>
  <si>
    <t>https://www.youlchon.org</t>
  </si>
  <si>
    <t>성남동</t>
  </si>
  <si>
    <t>성남청소년센터</t>
  </si>
  <si>
    <t xml:space="preserve">(사)울산흥사단 </t>
  </si>
  <si>
    <t>울산시 중구 중앙길 78</t>
  </si>
  <si>
    <t>052-211-1601</t>
  </si>
  <si>
    <t>052-211-1602</t>
  </si>
  <si>
    <t xml:space="preserve">http://www.usn1318.com </t>
  </si>
  <si>
    <t>유곡동</t>
  </si>
  <si>
    <t>(사)꿈빛소금</t>
  </si>
  <si>
    <t>울산시 중구 종가5길 15</t>
  </si>
  <si>
    <t>052-212-1139</t>
  </si>
  <si>
    <t>052-212-1020</t>
  </si>
  <si>
    <t>http://www.ulsan1318.net/</t>
  </si>
  <si>
    <t>세종시</t>
  </si>
  <si>
    <t>조치원읍</t>
  </si>
  <si>
    <t>북세종종합청소년센터</t>
  </si>
  <si>
    <t>세종특별자치시장</t>
  </si>
  <si>
    <t>세종시 조치원읍 수원지길 57</t>
  </si>
  <si>
    <t>044-864-1318</t>
  </si>
  <si>
    <t>044-864-1319</t>
  </si>
  <si>
    <t xml:space="preserve">www.sj1318.net/ </t>
  </si>
  <si>
    <t>조치원청소년센터</t>
  </si>
  <si>
    <t>사)한국청소년진흥재단세종시지부</t>
  </si>
  <si>
    <t>세종시 조치원읍 문예회관길 22, 2층</t>
  </si>
  <si>
    <t>복합건물 3층</t>
  </si>
  <si>
    <t>044-867-7939</t>
  </si>
  <si>
    <t>044-865-7939</t>
  </si>
  <si>
    <t>http://www.sjokyd.org/</t>
  </si>
  <si>
    <t>새롬동</t>
  </si>
  <si>
    <t>새롬청소년센터</t>
  </si>
  <si>
    <t>세종YMCA</t>
  </si>
  <si>
    <t xml:space="preserve">세종시 새롬로 14, 새롬종합복지센터 204호 </t>
  </si>
  <si>
    <t>복합건물 2층</t>
  </si>
  <si>
    <t>044-868-7865</t>
  </si>
  <si>
    <t>044-868-7864</t>
  </si>
  <si>
    <t>www.sangsangy.or.kr</t>
  </si>
  <si>
    <t>고운동</t>
  </si>
  <si>
    <t>고운청소년센터</t>
  </si>
  <si>
    <t>세종특별자치시</t>
  </si>
  <si>
    <t xml:space="preserve">세종시 마음로 64, 고운동 남측 복합커뮤니티센터 </t>
  </si>
  <si>
    <t>044-300-4960</t>
  </si>
  <si>
    <t>044-300-4969</t>
  </si>
  <si>
    <t>https://www.sejong.go.kr/welfare/sub04_04_01_01.do</t>
  </si>
  <si>
    <t>아름동</t>
  </si>
  <si>
    <t>남세종종합청소년센터</t>
  </si>
  <si>
    <t>세종특별자치시 달빛1로 227</t>
  </si>
  <si>
    <t>044-300-4970</t>
  </si>
  <si>
    <t>044-300-4989</t>
  </si>
  <si>
    <t>가평군</t>
  </si>
  <si>
    <t>상면</t>
  </si>
  <si>
    <t>서울특별시교육청학생교육원</t>
  </si>
  <si>
    <t>교육청</t>
  </si>
  <si>
    <t>서울특별시교육청</t>
  </si>
  <si>
    <t>경기도 가평군 상면 축령로 45번길 40-135</t>
  </si>
  <si>
    <t>031-5175-8643</t>
  </si>
  <si>
    <t>031-585-9430</t>
  </si>
  <si>
    <t>http//:sensec.go.kr</t>
  </si>
  <si>
    <t>북면</t>
  </si>
  <si>
    <t>그린캠프유스호스텔</t>
  </si>
  <si>
    <t>양재철</t>
  </si>
  <si>
    <t>경기도 가평군 북면 화악산로 729-64</t>
  </si>
  <si>
    <t>031-581-5304</t>
  </si>
  <si>
    <t>031-582-3324</t>
  </si>
  <si>
    <t>www.greencamp.kr</t>
  </si>
  <si>
    <t>가평힐링캠프</t>
  </si>
  <si>
    <t>남상환</t>
  </si>
  <si>
    <t>경기도 가평군 상면 임초리 171-1</t>
  </si>
  <si>
    <t>031-585-6001</t>
  </si>
  <si>
    <t>031-585-6003</t>
  </si>
  <si>
    <t>www.kphc.co.kr</t>
  </si>
  <si>
    <t>설악면</t>
  </si>
  <si>
    <t>청심국제청소년수련원</t>
  </si>
  <si>
    <t>지윤학</t>
  </si>
  <si>
    <t>효정국제문화재단</t>
  </si>
  <si>
    <t>경기도 가평군 설악면 미사리로 278-64</t>
  </si>
  <si>
    <t>031-589-1700</t>
  </si>
  <si>
    <t>031-589-1745</t>
  </si>
  <si>
    <t>http://youth.ciyc.co.kr/</t>
  </si>
  <si>
    <t>청평면</t>
  </si>
  <si>
    <t>가평유스호스텔</t>
  </si>
  <si>
    <t>송민영</t>
  </si>
  <si>
    <t>경기도 가평군 청평면 대성리79-2</t>
  </si>
  <si>
    <t>031-585-8163</t>
  </si>
  <si>
    <t>031-585-8169</t>
  </si>
  <si>
    <t>쁘띠프랑스 청소년수련원</t>
  </si>
  <si>
    <t>한홍섭</t>
  </si>
  <si>
    <t>㈜쁘띠프랑스</t>
  </si>
  <si>
    <t>경기도 가평군 청평면 호반로 1063</t>
  </si>
  <si>
    <t>031-584-8200</t>
  </si>
  <si>
    <t>031-9078-6812</t>
  </si>
  <si>
    <t>www.pfcamp.com</t>
  </si>
  <si>
    <t>소란캠프 야영장</t>
  </si>
  <si>
    <t>이희은</t>
  </si>
  <si>
    <t>경기도 가평군 청평면 모꼬지로 82-20</t>
  </si>
  <si>
    <t>031-585-8843</t>
  </si>
  <si>
    <t>조종면</t>
  </si>
  <si>
    <t>코스모피아청소년수련원</t>
  </si>
  <si>
    <t>이세영</t>
  </si>
  <si>
    <t>경기도 가평군 조종면 명지산로 558-226</t>
  </si>
  <si>
    <t>031-585-0482</t>
  </si>
  <si>
    <t>031-585-0428</t>
  </si>
  <si>
    <t>자연과별유스호스텔</t>
  </si>
  <si>
    <t>김상종</t>
  </si>
  <si>
    <t>자연과별가평천문대</t>
  </si>
  <si>
    <t>경기도 가평군 북면 백둔로 342번길 115-33</t>
  </si>
  <si>
    <t>031-581-4001</t>
  </si>
  <si>
    <t>031-582-1996</t>
  </si>
  <si>
    <t>www.naturestar.co.kr</t>
  </si>
  <si>
    <t>가평읍</t>
  </si>
  <si>
    <t>가평군 가평청소년문화의집</t>
  </si>
  <si>
    <t>경기도 가평군 가평읍 문화로 120</t>
  </si>
  <si>
    <t>3층(지하1층,지상3층) 단독건물,주차장,야외공원</t>
  </si>
  <si>
    <t>031-581-0924</t>
  </si>
  <si>
    <t>031-601-8522</t>
  </si>
  <si>
    <t>www.gpyouth.or.kr</t>
  </si>
  <si>
    <t>가평군 설악청소년문화의집</t>
  </si>
  <si>
    <t>경기도 가평군 설악면 자잠로 63</t>
  </si>
  <si>
    <t>031-584-1522</t>
  </si>
  <si>
    <t>031-584-1722</t>
  </si>
  <si>
    <t>www.seorakyouth.or.kr</t>
  </si>
  <si>
    <t>가평군 조종청소년문화의집</t>
  </si>
  <si>
    <t>경기도 가평군 조종면 청군로 1270</t>
  </si>
  <si>
    <t>지하1층~지상2층</t>
  </si>
  <si>
    <t>031-584-0707</t>
  </si>
  <si>
    <t>031-584-1372</t>
  </si>
  <si>
    <t>jjyc.kr</t>
  </si>
  <si>
    <t>이탈리아마을(구 고성리청소년수련관)</t>
  </si>
  <si>
    <t>경기 가평군 청평면 호반로 1073-56</t>
  </si>
  <si>
    <t>지상2층/지하4층</t>
  </si>
  <si>
    <t>031-5175-8931</t>
  </si>
  <si>
    <t>031-5175-8941</t>
  </si>
  <si>
    <t>http://www.pinovinci.com</t>
  </si>
  <si>
    <t>가평우리마을청소년수련원</t>
  </si>
  <si>
    <t>이찬수</t>
  </si>
  <si>
    <t>(재)가평우리마을</t>
  </si>
  <si>
    <t>경기도 가평군 설악면 회곡리 547-3 외 30필지</t>
  </si>
  <si>
    <t>지상4층/지하2층</t>
  </si>
  <si>
    <t>031-584-5475</t>
  </si>
  <si>
    <t>https://www.woorimaeul.org/</t>
  </si>
  <si>
    <t>오스트리아캠핑</t>
  </si>
  <si>
    <t>이채정</t>
  </si>
  <si>
    <t>경기도 가평군 상면 축령로 276-37</t>
  </si>
  <si>
    <t>http://austriacamping.com/</t>
  </si>
  <si>
    <t>고양시</t>
  </si>
  <si>
    <t>토당동</t>
  </si>
  <si>
    <t>토당청소년수련관</t>
  </si>
  <si>
    <t>고양시장</t>
  </si>
  <si>
    <t>(재)고양시청소년재단</t>
  </si>
  <si>
    <t>경기도 고양시 덕양구 중앙로 633번길25(토당동)</t>
  </si>
  <si>
    <t>031-995-4120</t>
  </si>
  <si>
    <t>031-995-4149</t>
  </si>
  <si>
    <t>http://www.gcyf.or.kr/td</t>
  </si>
  <si>
    <t>마두동</t>
  </si>
  <si>
    <t>마두청소년수련관</t>
  </si>
  <si>
    <t>경기도 고양시 일산동구 일산로 220</t>
  </si>
  <si>
    <t>지하2층, 지상5층</t>
  </si>
  <si>
    <t>031-995-4160</t>
  </si>
  <si>
    <t>031-995-4169</t>
  </si>
  <si>
    <t>http://www.gcyf.or.kr/md</t>
  </si>
  <si>
    <t>성사동</t>
  </si>
  <si>
    <t>성사청소년문화의집</t>
  </si>
  <si>
    <t>경기도 고양시 덕양구 어울림로 33(성사동)</t>
  </si>
  <si>
    <t>031-995-4200</t>
  </si>
  <si>
    <t>031-995-4209</t>
  </si>
  <si>
    <t>http://www.gcyf.or.kr/ss</t>
  </si>
  <si>
    <t>탄현동</t>
  </si>
  <si>
    <t>탄현청소년문화의집</t>
  </si>
  <si>
    <t>경기도 고양시 일산서구 일현로 97-11</t>
  </si>
  <si>
    <t>지하1층 / 지상2층</t>
  </si>
  <si>
    <t>031-995-4220</t>
  </si>
  <si>
    <t>031-995-4229</t>
  </si>
  <si>
    <t>http://www.gcyf.or.kr/th</t>
  </si>
  <si>
    <t>일산동</t>
  </si>
  <si>
    <t>일산서구청소년수련관</t>
  </si>
  <si>
    <t>경기도 고양시 일산서구 일산로 586</t>
  </si>
  <si>
    <t>지하2층/지상5층</t>
  </si>
  <si>
    <t>031-995-4181</t>
  </si>
  <si>
    <t>031-995-4199</t>
  </si>
  <si>
    <t>http://www.gcyf.or.kr/sg</t>
  </si>
  <si>
    <t>풍동</t>
  </si>
  <si>
    <t>서울YMCA고양국제청소년문화센터</t>
  </si>
  <si>
    <t>(재)서울YMCA</t>
  </si>
  <si>
    <t>경기도 고양시 일산동구 애니골길97(풍동)</t>
  </si>
  <si>
    <t>지하1층지상4층</t>
  </si>
  <si>
    <t>031-900-4800</t>
  </si>
  <si>
    <t>031-900-4818</t>
  </si>
  <si>
    <t>www.letsymca.or.kr</t>
  </si>
  <si>
    <t xml:space="preserve">고양시 </t>
  </si>
  <si>
    <t>원당동</t>
  </si>
  <si>
    <t>서삼릉청소년야영장</t>
  </si>
  <si>
    <t>(사)한국스카우트연맹</t>
  </si>
  <si>
    <t>경기도 고양시 덕양구 서삼릉길 107-62(원당동)</t>
  </si>
  <si>
    <t>031-967-9163</t>
  </si>
  <si>
    <t>0507-514-2015</t>
  </si>
  <si>
    <t>https://www.scout.or.kr/facility</t>
  </si>
  <si>
    <t>대화동</t>
  </si>
  <si>
    <t>송포청소년문화의집</t>
  </si>
  <si>
    <t>경기도 고양시 일산서구 대화1로 77</t>
  </si>
  <si>
    <t>031-995-4240</t>
  </si>
  <si>
    <t>031-995-4249</t>
  </si>
  <si>
    <t>http://www.gcyf.or.kr/sp</t>
  </si>
  <si>
    <t>과천시</t>
  </si>
  <si>
    <t>문원동</t>
  </si>
  <si>
    <t>과천시청소년수련관</t>
  </si>
  <si>
    <t>과천시장</t>
  </si>
  <si>
    <t>과천시청</t>
  </si>
  <si>
    <t>경기도 과천시 참마을로 9</t>
  </si>
  <si>
    <t>02-2150-3932</t>
  </si>
  <si>
    <t>02-507-8853</t>
  </si>
  <si>
    <t>www.gcyc.go.kr/</t>
  </si>
  <si>
    <t>중앙동</t>
  </si>
  <si>
    <t>과천청소년문화의집</t>
  </si>
  <si>
    <t>과천시청소년육성재단</t>
  </si>
  <si>
    <t>경기도 과천시 통영로5, 체육동 2층 과천청소년문화의집</t>
  </si>
  <si>
    <t>02-504-7701</t>
  </si>
  <si>
    <t>02-503-1888</t>
  </si>
  <si>
    <t>www.gc-youth.or.kr</t>
  </si>
  <si>
    <t>광명시</t>
  </si>
  <si>
    <t>소하동</t>
  </si>
  <si>
    <t>광명시청소년수련관</t>
  </si>
  <si>
    <t>광명시장</t>
  </si>
  <si>
    <t>(재)광명시청소년재단</t>
  </si>
  <si>
    <t>경기도 광명시 소하일로 9</t>
  </si>
  <si>
    <t>지하1층 ~ 지상4층</t>
  </si>
  <si>
    <t>02-6673-8113</t>
  </si>
  <si>
    <t>02-6673-8132</t>
  </si>
  <si>
    <t>https://gmyouth.or.kr/center</t>
  </si>
  <si>
    <t>광명동</t>
  </si>
  <si>
    <t>오름청소년활동센터</t>
  </si>
  <si>
    <t>경기도 광명시 광복로51, 3층</t>
  </si>
  <si>
    <t>광명1동 생활문화복지센터 3층</t>
  </si>
  <si>
    <t>02-2687-1318</t>
  </si>
  <si>
    <t>02-2687-6096</t>
  </si>
  <si>
    <t>https://gmyouth.or.kr/orum/index.do</t>
  </si>
  <si>
    <t>해냄청소년활동센터</t>
  </si>
  <si>
    <t>경기도 광명시 광오로 38, 4층</t>
  </si>
  <si>
    <t>4층건물 중 3~4층</t>
  </si>
  <si>
    <t>02-2689-1318</t>
  </si>
  <si>
    <t>02-2685-6148</t>
  </si>
  <si>
    <t>https://gmyouth.or.kr/haenaem/index.do</t>
  </si>
  <si>
    <t>철산동</t>
  </si>
  <si>
    <t>나름청소년활동센터</t>
  </si>
  <si>
    <t>경기도 광명시 철산로 56, 6층</t>
  </si>
  <si>
    <t>철산3동행정복지센터 6층</t>
  </si>
  <si>
    <t>02-2060-1318</t>
  </si>
  <si>
    <t>02-2625-2013</t>
  </si>
  <si>
    <t>https://gmyouth.or.kr/nareum/index.do</t>
  </si>
  <si>
    <t>소하2동</t>
  </si>
  <si>
    <t>디딤청소년활동센터</t>
  </si>
  <si>
    <t>경기도 광명시 성채로 52, 4층</t>
  </si>
  <si>
    <t>소하2동 행정복지센터 4층</t>
  </si>
  <si>
    <t>02-6332-0550</t>
  </si>
  <si>
    <t>02-6332-0549</t>
  </si>
  <si>
    <t>https://gmyouth.or.kr/didim/index.do</t>
  </si>
  <si>
    <t>푸름청소년활동센터</t>
  </si>
  <si>
    <t>경기도 광명시 새터로 13, 4층</t>
  </si>
  <si>
    <t>광명7동 행정복지센터 4층</t>
  </si>
  <si>
    <t>02-2619-9986</t>
  </si>
  <si>
    <t>02-2683-0924</t>
  </si>
  <si>
    <t>https://gmyouth.or.kr/pureum/index.do</t>
  </si>
  <si>
    <t>광주시</t>
  </si>
  <si>
    <t>광남2동</t>
  </si>
  <si>
    <t>광주시 청소년수련관</t>
  </si>
  <si>
    <t>(사)한국청소년진흥재단</t>
  </si>
  <si>
    <t>경기도 광주시 회안대로 350-17</t>
  </si>
  <si>
    <t>지상4층/지하1층</t>
  </si>
  <si>
    <t>031-779-2450</t>
  </si>
  <si>
    <t>031-601-8901</t>
  </si>
  <si>
    <t>www.gjyouth.or.kr</t>
  </si>
  <si>
    <t>도척면</t>
  </si>
  <si>
    <t>중앙(곤지암)야영장</t>
  </si>
  <si>
    <t>(재)한국스카우트재단</t>
  </si>
  <si>
    <t>경기도 광주시 도척면 저수지길 224-39</t>
  </si>
  <si>
    <t>지하1층/지상2층</t>
  </si>
  <si>
    <t>031-764-1634</t>
  </si>
  <si>
    <t>031-764-1635</t>
  </si>
  <si>
    <t>www.scout.or.kr</t>
  </si>
  <si>
    <t>퇴촌면</t>
  </si>
  <si>
    <t>경기도청소년야영장</t>
  </si>
  <si>
    <t>도립</t>
  </si>
  <si>
    <t>경기도지사</t>
  </si>
  <si>
    <t>경기도미래세대재단</t>
  </si>
  <si>
    <t>경기도 광주시 퇴촌면 천진암로 1243</t>
  </si>
  <si>
    <t>031-763-9140</t>
  </si>
  <si>
    <t>031-763-9142</t>
  </si>
  <si>
    <t>www.ggyc.kr/</t>
  </si>
  <si>
    <t>퇴촌청소년문화의집</t>
  </si>
  <si>
    <t>경기도 광주시 퇴촌면 탑골길 37</t>
  </si>
  <si>
    <t>지하1층/지상4층</t>
  </si>
  <si>
    <t>031-769-9200</t>
  </si>
  <si>
    <t>031-769-9206</t>
  </si>
  <si>
    <t>www.tcyouth.or.kr</t>
  </si>
  <si>
    <t>구리시</t>
  </si>
  <si>
    <t>인창동</t>
  </si>
  <si>
    <t>구리시청소년수련관</t>
  </si>
  <si>
    <t>구리시장</t>
  </si>
  <si>
    <t>재단법인 구리시청소년재단</t>
  </si>
  <si>
    <t>경기도 구리시 건원대로34번길 32-10</t>
  </si>
  <si>
    <t>031-553-7101</t>
  </si>
  <si>
    <t>031-553-7109</t>
  </si>
  <si>
    <t>www.guriyouth.go.kr/</t>
  </si>
  <si>
    <t>토평동</t>
  </si>
  <si>
    <t>구리시청소년문화의집</t>
  </si>
  <si>
    <t>경기도 구리시 벌말로 160</t>
  </si>
  <si>
    <t>지하1층 지상5층</t>
  </si>
  <si>
    <t>031-522-4656</t>
  </si>
  <si>
    <t>군포시</t>
  </si>
  <si>
    <t>당동</t>
  </si>
  <si>
    <t>당동청소년문화의집</t>
  </si>
  <si>
    <t>군포시장</t>
  </si>
  <si>
    <t>(재)군포시청소년재단</t>
  </si>
  <si>
    <t>경기도 군포시 당산로 76</t>
  </si>
  <si>
    <t>031-390-1470</t>
  </si>
  <si>
    <t>031-455-5242</t>
  </si>
  <si>
    <t>https://www.gpyf.or.kr/ddyouth/index.do</t>
  </si>
  <si>
    <t>산본동</t>
  </si>
  <si>
    <t>광정동청소년문화의집</t>
  </si>
  <si>
    <t>경기도 군포시 광정로 106 2층</t>
  </si>
  <si>
    <t>지상4층 중 2층 사용</t>
  </si>
  <si>
    <t>031-390-1480</t>
  </si>
  <si>
    <t>031-398-7935</t>
  </si>
  <si>
    <t>https://www.gjycc21.or.kr/</t>
  </si>
  <si>
    <t>금정동</t>
  </si>
  <si>
    <t>군포시청소년수련관</t>
  </si>
  <si>
    <t>경기도 군포시 산본로 322</t>
  </si>
  <si>
    <t>지하2층, 지상4층</t>
  </si>
  <si>
    <t>031-390-1400</t>
  </si>
  <si>
    <t>031-395-1449</t>
  </si>
  <si>
    <t>https://www.gpyf.or.kr/gpdream/index.do</t>
  </si>
  <si>
    <t>김포시</t>
  </si>
  <si>
    <t>대곶면</t>
  </si>
  <si>
    <t>김포로그밸리청소년수련원</t>
  </si>
  <si>
    <t>김형금</t>
  </si>
  <si>
    <t>김포로그밸리</t>
  </si>
  <si>
    <t>경기도 김포시 대곶면 천호로 116번길 76</t>
  </si>
  <si>
    <t>031-989-9006</t>
  </si>
  <si>
    <t>031-989-9020</t>
  </si>
  <si>
    <t>www.logvalley.com</t>
  </si>
  <si>
    <t>걸포동</t>
  </si>
  <si>
    <t>김포중봉청소년수련관</t>
  </si>
  <si>
    <t>김포시장</t>
  </si>
  <si>
    <t>김포시청소년재단</t>
  </si>
  <si>
    <t>경기도 김포시 걸포로76</t>
  </si>
  <si>
    <t>031-980-1616</t>
  </si>
  <si>
    <t>031-980-1655</t>
  </si>
  <si>
    <t>www.fgy.or.kr/jbyouth/</t>
  </si>
  <si>
    <t>사우동</t>
  </si>
  <si>
    <t>사우청소년문화의집</t>
  </si>
  <si>
    <t>경기도 김포시 사우중로 26</t>
  </si>
  <si>
    <t>지상4층 중1층</t>
  </si>
  <si>
    <t>031-997-8140</t>
  </si>
  <si>
    <t>031-997-8139</t>
  </si>
  <si>
    <t>www.fgy.or.kr/sau</t>
  </si>
  <si>
    <t>통진읍</t>
  </si>
  <si>
    <t>통진청소년문화의집</t>
  </si>
  <si>
    <t>경기도 김포시 통진읍 김포대로 2110-30 2층</t>
  </si>
  <si>
    <t>지하1층, 지상4층 중 2층</t>
  </si>
  <si>
    <t>031-997-5165</t>
  </si>
  <si>
    <t>031-997-5195</t>
  </si>
  <si>
    <t>www.fgy.or.kr/tj</t>
  </si>
  <si>
    <t>양촌읍</t>
  </si>
  <si>
    <t>양촌청소년문화의집</t>
  </si>
  <si>
    <t>경기도 김포시 양촌읍 양곡2로 30번길 46 독립운동기념관 2층</t>
  </si>
  <si>
    <t>지상2층 중 2층</t>
  </si>
  <si>
    <t>031-996-6275</t>
  </si>
  <si>
    <t>031-996-2523</t>
  </si>
  <si>
    <t>www.fgy.or.kr/yc</t>
  </si>
  <si>
    <t>고촌읍</t>
  </si>
  <si>
    <t>고촌청소년문화의집</t>
  </si>
  <si>
    <t>경기도 김포시 고촌읍 은행영사정로 23번길 52-15 고촌복지회관3층</t>
  </si>
  <si>
    <t>지상4층 중3층</t>
  </si>
  <si>
    <t>031-997-4246</t>
  </si>
  <si>
    <t>031-997-4245</t>
  </si>
  <si>
    <t>www.fgy.or.kr/gc</t>
  </si>
  <si>
    <t>월곶면</t>
  </si>
  <si>
    <t>김포시청소년수련원</t>
  </si>
  <si>
    <t>경기도 김포시 월곶면 용강로 13번길 38</t>
  </si>
  <si>
    <t>031-989-6700</t>
  </si>
  <si>
    <t>031-989-6710</t>
  </si>
  <si>
    <t>https://www.fgy.or.kr/gpyc</t>
  </si>
  <si>
    <t>풍무동</t>
  </si>
  <si>
    <t>풍무청소년문화의집</t>
  </si>
  <si>
    <t>경기도 김포시 풍무로146번길 86</t>
  </si>
  <si>
    <t>031-997-9550</t>
  </si>
  <si>
    <t>031-997-9551</t>
  </si>
  <si>
    <t>https://www.fgy.or.kr/pm/PageLink.do</t>
  </si>
  <si>
    <t>남양주시</t>
  </si>
  <si>
    <t>수동면</t>
  </si>
  <si>
    <t>수동유스타운</t>
  </si>
  <si>
    <t>염태훈, 박원희</t>
  </si>
  <si>
    <t>경기도 남양주시 수동면 비룡로 530번길 30</t>
  </si>
  <si>
    <t>031-593-2226</t>
  </si>
  <si>
    <t>이패동</t>
  </si>
  <si>
    <t>남양주시청소년수련관</t>
  </si>
  <si>
    <t>남양주시장</t>
  </si>
  <si>
    <t>남양주도시공사</t>
  </si>
  <si>
    <t>경기도 남양주시 다산지금로 51-47</t>
  </si>
  <si>
    <t>031-560-1481</t>
  </si>
  <si>
    <t>030309001530</t>
  </si>
  <si>
    <t>https://www.nyj.go.kr/youth/nyouth/57</t>
  </si>
  <si>
    <t>평내동</t>
  </si>
  <si>
    <t>서경청소년수련원</t>
  </si>
  <si>
    <t>서경대학교</t>
  </si>
  <si>
    <t>경기도 남양주시 의안로124-69</t>
  </si>
  <si>
    <t>031-594-6300</t>
  </si>
  <si>
    <t>031-594-4412</t>
  </si>
  <si>
    <t>www.training.skuniv.ac.kr</t>
  </si>
  <si>
    <t>화도읍</t>
  </si>
  <si>
    <t>국제광림비전랜드</t>
  </si>
  <si>
    <t>광림교회</t>
  </si>
  <si>
    <t>경기도 남양주시 모꼬지로 17번길 105</t>
  </si>
  <si>
    <t>031-592-1163</t>
  </si>
  <si>
    <t>031-592-1164</t>
  </si>
  <si>
    <t>http://xn--hc0bv1mlmcf0czvi5lq.com/main/main.html</t>
  </si>
  <si>
    <t>진접읍</t>
  </si>
  <si>
    <t>펀그라운드진접</t>
  </si>
  <si>
    <t>경기도 남양주시 진접읍 장현로 123</t>
  </si>
  <si>
    <t>031-560-1341</t>
  </si>
  <si>
    <t>070-4275-5975</t>
  </si>
  <si>
    <t>https://www.funground.or.kr</t>
  </si>
  <si>
    <t>조안면</t>
  </si>
  <si>
    <t>남양주유스호스텔(정약용펀그라운드)</t>
  </si>
  <si>
    <t>경기도 남양주시 조안면 북한강로 881</t>
  </si>
  <si>
    <t>031-560-1361~2</t>
  </si>
  <si>
    <t>070-4142-0273</t>
  </si>
  <si>
    <t>www.funground.or.kr/jyy</t>
  </si>
  <si>
    <t>동두천시</t>
  </si>
  <si>
    <t>불현동</t>
  </si>
  <si>
    <t>동두천시청소년수련관</t>
  </si>
  <si>
    <t>동두천시장</t>
  </si>
  <si>
    <t>경기도 동두천시 지행로 95</t>
  </si>
  <si>
    <t>031-860-2853</t>
  </si>
  <si>
    <t>031-860-2649</t>
  </si>
  <si>
    <t>https://www.ddc.go.kr/youth/index.do</t>
  </si>
  <si>
    <t>상패동</t>
  </si>
  <si>
    <t>동두천청소년문화회관</t>
  </si>
  <si>
    <t>경기도 동두천시 어수로 4</t>
  </si>
  <si>
    <t>031-860-2858</t>
  </si>
  <si>
    <t>광암동</t>
  </si>
  <si>
    <t>두레청소년야영장</t>
  </si>
  <si>
    <t>(재)두레문화마을</t>
  </si>
  <si>
    <t>재단법인두레문화마을</t>
  </si>
  <si>
    <t>경기도 동두천시 광암동 8-12</t>
  </si>
  <si>
    <t>031-866-3434</t>
  </si>
  <si>
    <t>0504-345-6404</t>
  </si>
  <si>
    <t>http://www.durefoundation.org/</t>
  </si>
  <si>
    <t>생연동</t>
  </si>
  <si>
    <t>동두천시청소년문화의집</t>
  </si>
  <si>
    <t>경기도 동두천시 동두천로 314</t>
  </si>
  <si>
    <t>031-860-2867</t>
  </si>
  <si>
    <t>https://www.ddc.go.kr/youthddc/index.do</t>
  </si>
  <si>
    <t>부천시</t>
  </si>
  <si>
    <t>상1동</t>
  </si>
  <si>
    <t>부천시청소년센터</t>
  </si>
  <si>
    <t>부천시장</t>
  </si>
  <si>
    <t>(재)부천여성청소년재단</t>
  </si>
  <si>
    <t>경기도 부천시 원미구 장말로 107 복사골문화센터2층</t>
  </si>
  <si>
    <t>지하2층,2,3층</t>
  </si>
  <si>
    <t>032-325-4300</t>
  </si>
  <si>
    <t>032-326-3856</t>
  </si>
  <si>
    <t>https://www.bwyf.or.kr/bucheonyouth</t>
  </si>
  <si>
    <t>춘의동</t>
  </si>
  <si>
    <t>산울림청소년센터</t>
  </si>
  <si>
    <t>경기도 부천시 원미구 역곡로 149-65</t>
  </si>
  <si>
    <t>032-344-4480</t>
  </si>
  <si>
    <t>032-344-4459</t>
  </si>
  <si>
    <t>www.echoyouth.or.kr/</t>
  </si>
  <si>
    <t>원미1동</t>
  </si>
  <si>
    <t>부천여성청소년센터</t>
  </si>
  <si>
    <t>경기도 부천시 원미구 부천로 122번길60</t>
  </si>
  <si>
    <t>지하1층,지상4층 중3층,4층</t>
  </si>
  <si>
    <t>032-665-0924~5</t>
  </si>
  <si>
    <t>032-665-0286</t>
  </si>
  <si>
    <t>https://www.bwyf.or.kr/bwycenter/index.do</t>
  </si>
  <si>
    <t>고강본동</t>
  </si>
  <si>
    <t>고리울청소년센터</t>
  </si>
  <si>
    <t>경기도 부천시 오정구 고강로 132번길 28</t>
  </si>
  <si>
    <t>032-682-1886</t>
  </si>
  <si>
    <t>032-674-6942</t>
  </si>
  <si>
    <t>www.kumayouth.or.kr/</t>
  </si>
  <si>
    <t>송내2동</t>
  </si>
  <si>
    <t>송내청소년센터</t>
  </si>
  <si>
    <t>(재)부천기독교청년회유지재단</t>
  </si>
  <si>
    <t>경기도 부천시 경인로 92번길 33 송내어울마당3층</t>
  </si>
  <si>
    <t>지상5층 중3층,5층일부</t>
  </si>
  <si>
    <t>032-656-8085</t>
  </si>
  <si>
    <t>032-614-9067</t>
  </si>
  <si>
    <t>www.sndyouth.or.kr</t>
  </si>
  <si>
    <t>괴안동</t>
  </si>
  <si>
    <t>소사청소년센터</t>
  </si>
  <si>
    <t>경기도 부천시 소사구 소사동로125</t>
  </si>
  <si>
    <t>032-344-0720</t>
  </si>
  <si>
    <t>032-344-0721</t>
  </si>
  <si>
    <t>www.sosayouth.or.kr</t>
  </si>
  <si>
    <t>성남시</t>
  </si>
  <si>
    <t>신흥동</t>
  </si>
  <si>
    <t>(임시)수정청소년수련관</t>
  </si>
  <si>
    <t>성남시장</t>
  </si>
  <si>
    <t>(재)성남시청소년재단</t>
  </si>
  <si>
    <t>경기도 성남시 수정구 희망로 509번길 20</t>
  </si>
  <si>
    <t>031-729-9200</t>
  </si>
  <si>
    <t>031-745-5290</t>
  </si>
  <si>
    <t>www.snyouth.or.kr</t>
  </si>
  <si>
    <t>하대원동</t>
  </si>
  <si>
    <t>중원청소년수련관</t>
  </si>
  <si>
    <t>경기도 성남시 중원구 둔촌대로 332</t>
  </si>
  <si>
    <t>031-729-9300</t>
  </si>
  <si>
    <t>031-755-4635</t>
  </si>
  <si>
    <t>서현동</t>
  </si>
  <si>
    <t>분당서현청소년수련관</t>
  </si>
  <si>
    <t>경기도 성남시 분당구 불정로 386번길 38</t>
  </si>
  <si>
    <t>031-729-9400</t>
  </si>
  <si>
    <t>031-781-6158</t>
  </si>
  <si>
    <t>정자동</t>
  </si>
  <si>
    <t>분당정자청소년수련관</t>
  </si>
  <si>
    <t>경기도 성남시 분당구 성남대로 407번길 12</t>
  </si>
  <si>
    <t>031-729-9500</t>
  </si>
  <si>
    <t>031-783-4307</t>
  </si>
  <si>
    <t>판교동</t>
  </si>
  <si>
    <t>분당판교청소년수련관</t>
  </si>
  <si>
    <t>경기도 성남시 분당구 판교공원로4길 27</t>
  </si>
  <si>
    <t>지하3층,지상3층</t>
  </si>
  <si>
    <t>031-729-9600</t>
  </si>
  <si>
    <t>031-8016-7883</t>
  </si>
  <si>
    <t>양지동</t>
  </si>
  <si>
    <t>양지동청소년문화의집</t>
  </si>
  <si>
    <t>경기도 성남시 수정구 산성대로 483</t>
  </si>
  <si>
    <t>031-729-9940</t>
  </si>
  <si>
    <t>031-733-9274</t>
  </si>
  <si>
    <t>은행동</t>
  </si>
  <si>
    <t>은행동청소년문화의집</t>
  </si>
  <si>
    <t>경기도 성남시 중원구 산성대로 516번길 24</t>
  </si>
  <si>
    <t>031-729-9900</t>
  </si>
  <si>
    <t>031-731-7034</t>
  </si>
  <si>
    <t>금광청소년문화의집</t>
  </si>
  <si>
    <t>김영삼</t>
  </si>
  <si>
    <t>금광교회</t>
  </si>
  <si>
    <t>경기도 성남시 수정구 산성대로 613</t>
  </si>
  <si>
    <t>031-731-9191</t>
  </si>
  <si>
    <t>031-731-1006</t>
  </si>
  <si>
    <t>분당구</t>
  </si>
  <si>
    <t>분당야탑청소년수련관</t>
  </si>
  <si>
    <t>경기도 성남시 분당구 벌말로 30번길 35</t>
  </si>
  <si>
    <t>031-729-9800</t>
  </si>
  <si>
    <t>031-724-0819</t>
  </si>
  <si>
    <t>수원시</t>
  </si>
  <si>
    <t>권선동</t>
  </si>
  <si>
    <t>권선청소년청년센터</t>
  </si>
  <si>
    <t>수원시장</t>
  </si>
  <si>
    <t>수원시청소년청년재단</t>
  </si>
  <si>
    <t>경기도 수원시 권선구 덕영대로1201번길 42</t>
  </si>
  <si>
    <t>031-226-1601</t>
  </si>
  <si>
    <t>031-236-9146</t>
  </si>
  <si>
    <t>www.syf.or.kr</t>
  </si>
  <si>
    <t>영통동</t>
  </si>
  <si>
    <t>영통청소년청년센터</t>
  </si>
  <si>
    <t>경기도 수원시 영통구 매영로 333</t>
  </si>
  <si>
    <t>031-273-7942</t>
  </si>
  <si>
    <t>031-273-7947</t>
  </si>
  <si>
    <t>이의동</t>
  </si>
  <si>
    <t>광교청소년청년센터</t>
  </si>
  <si>
    <t>경기도 수원시 영통구 도청로17번길 24</t>
  </si>
  <si>
    <t>031-216-2940</t>
  </si>
  <si>
    <t>031-216-2939</t>
  </si>
  <si>
    <t>장안청소년청년센터</t>
  </si>
  <si>
    <t>경기도 수원시 장안구 수성로275번길 114</t>
  </si>
  <si>
    <t>031-246-7982</t>
  </si>
  <si>
    <t>031-243-7983</t>
  </si>
  <si>
    <t>인계동</t>
  </si>
  <si>
    <t>수원청소년문화센터</t>
  </si>
  <si>
    <t>경기도 수원시 팔달구 권광로 293</t>
  </si>
  <si>
    <t>지하1층,지상3층/
지하1층,지상4층</t>
  </si>
  <si>
    <t>031-218-0400</t>
  </si>
  <si>
    <t>031-218-0419</t>
  </si>
  <si>
    <t>칠보청소년청년센터</t>
  </si>
  <si>
    <t>경기도 수원시 권선구 서수원로577번길 209</t>
  </si>
  <si>
    <t>031-278-6341</t>
  </si>
  <si>
    <t>031-278-5409</t>
  </si>
  <si>
    <t>천천동</t>
  </si>
  <si>
    <t>천천청소년청년센터</t>
  </si>
  <si>
    <t>경기도 수원시 장안구 정자로42번길 42</t>
  </si>
  <si>
    <t>031-271-9343</t>
  </si>
  <si>
    <t>031-271-2655</t>
  </si>
  <si>
    <t>서둔동</t>
  </si>
  <si>
    <t>수원유스호스텔</t>
  </si>
  <si>
    <t>경기도 수원시 권선구 서호로 32</t>
  </si>
  <si>
    <t>031-278-6274</t>
  </si>
  <si>
    <t>031-278-6269</t>
  </si>
  <si>
    <t>시흥시</t>
  </si>
  <si>
    <t>대야동</t>
  </si>
  <si>
    <t>시흥시청소년수련관</t>
  </si>
  <si>
    <t>시흥시장</t>
  </si>
  <si>
    <t>(재)시흥시청소년재단</t>
  </si>
  <si>
    <t>경기도 시흥시 은행로179</t>
  </si>
  <si>
    <t>지하 1층,지상 4층</t>
  </si>
  <si>
    <t>2007.1.8.</t>
  </si>
  <si>
    <t>031-315-1890</t>
  </si>
  <si>
    <t>031-316-2516</t>
  </si>
  <si>
    <t>https://shyouth.or.kr/shcs</t>
  </si>
  <si>
    <t>정왕3동</t>
  </si>
  <si>
    <t>시흥시꾸미청소년문화의집</t>
  </si>
  <si>
    <t>경기도 시흥시 정왕대로 53번길 38 2층</t>
  </si>
  <si>
    <t>지하 1층,지상 3층</t>
  </si>
  <si>
    <t>2016.4.20.</t>
  </si>
  <si>
    <t>031-433-4490</t>
  </si>
  <si>
    <t>https://shyouth.or.kr/gchm</t>
  </si>
  <si>
    <t>정왕1동</t>
  </si>
  <si>
    <t>시흥시정왕청소년문화의집</t>
  </si>
  <si>
    <t>경기도 시흥시 정왕대로 233번길 33, 3층</t>
  </si>
  <si>
    <t>지하 1층,지상 5층</t>
  </si>
  <si>
    <t>2019.10.25.</t>
  </si>
  <si>
    <t>031-319-1318</t>
  </si>
  <si>
    <t>031-319-1316</t>
  </si>
  <si>
    <t>https://shyouth.or.kr/shjyc</t>
  </si>
  <si>
    <t>능곡동</t>
  </si>
  <si>
    <t>시흥시능곡청소년문화의집</t>
  </si>
  <si>
    <t>경기도 시흥시 능곡로 140, 능곡어울림센터 3층</t>
  </si>
  <si>
    <t>2019.1.9.</t>
  </si>
  <si>
    <t>031-314-9806</t>
  </si>
  <si>
    <t>031-314-9807</t>
  </si>
  <si>
    <t>https://shyouth.or.kr/nchm</t>
  </si>
  <si>
    <t>목감동</t>
  </si>
  <si>
    <t>시흥시 목감청소년문화의집</t>
  </si>
  <si>
    <t>경기도 시흥시 목감우회로23, 4층</t>
  </si>
  <si>
    <t>2021.1.11.</t>
  </si>
  <si>
    <t>031-484-8200</t>
  </si>
  <si>
    <t>031-484-8201</t>
  </si>
  <si>
    <t>https://shyouth.or.kr/mgchm</t>
  </si>
  <si>
    <t>월곶동</t>
  </si>
  <si>
    <t>시흥시 월곶 청소년문화의집</t>
  </si>
  <si>
    <t>경기도 시흥시 월곶중앙로30번안길 7, 2~3층</t>
  </si>
  <si>
    <t>2021.5.13.</t>
  </si>
  <si>
    <t>031-318-1318</t>
  </si>
  <si>
    <t>031-318-1319</t>
  </si>
  <si>
    <t>https://www.shyouth.or.kr/wgyouth</t>
  </si>
  <si>
    <t>배곧1동</t>
  </si>
  <si>
    <t>시흥시 배곧1 청소년문화의집</t>
  </si>
  <si>
    <t>경기도 시흥시 배곧4로 94-41, 3층</t>
  </si>
  <si>
    <t>2021.7.5.</t>
  </si>
  <si>
    <t>031-499-7942</t>
  </si>
  <si>
    <t>031-499-7943</t>
  </si>
  <si>
    <t>https://shyouth.or.kr/bgyouth</t>
  </si>
  <si>
    <t>배곧2동</t>
  </si>
  <si>
    <t>시흥시배곧2청소년문화의집</t>
  </si>
  <si>
    <t>경기도 시흥시 배곧1로 30, 3층</t>
  </si>
  <si>
    <t>2022.8.25.</t>
  </si>
  <si>
    <t>031-497-0924</t>
  </si>
  <si>
    <t>031-497-0926</t>
  </si>
  <si>
    <t>https://shyouth.or.kr/bgyouth2</t>
  </si>
  <si>
    <t>연성동</t>
  </si>
  <si>
    <t>시흥시 연성 청소년문화의집</t>
  </si>
  <si>
    <t>경기도 시흥시 관곡지로 260</t>
  </si>
  <si>
    <t>2023.2.10.</t>
  </si>
  <si>
    <t>031-435-0924</t>
  </si>
  <si>
    <t>031-435-0926</t>
  </si>
  <si>
    <t>https://shyouth.or.kr/ysyc</t>
  </si>
  <si>
    <t>시흥시 은행청소년문화의집</t>
  </si>
  <si>
    <t>경기도 시흥시 수인로3247번길 33, 4층</t>
  </si>
  <si>
    <t>2024.5.13.</t>
  </si>
  <si>
    <t>031-315-3247</t>
  </si>
  <si>
    <t xml:space="preserve">031-315-3248 </t>
  </si>
  <si>
    <t>https://shyouth.or.kr/ehyouth</t>
  </si>
  <si>
    <t>안산시</t>
  </si>
  <si>
    <t>성포동</t>
  </si>
  <si>
    <t>상록청소년수련관</t>
  </si>
  <si>
    <t>안산시장</t>
  </si>
  <si>
    <t>(재)안산시청소년재단</t>
  </si>
  <si>
    <t>경기도 안산시 상록구 삼일로 696</t>
  </si>
  <si>
    <t>031-475-1981</t>
  </si>
  <si>
    <t>031-475-0220</t>
  </si>
  <si>
    <t>sangnok.ansanyouth.or.kr</t>
  </si>
  <si>
    <t>일동</t>
  </si>
  <si>
    <t>일동청소년문화의집</t>
  </si>
  <si>
    <t>경기도 안산시 상록구 호동로 89-16</t>
  </si>
  <si>
    <t>031-408-4458</t>
  </si>
  <si>
    <t>031-408-4482</t>
  </si>
  <si>
    <t xml:space="preserve">ildong.ansanyouth.or.kr </t>
  </si>
  <si>
    <t>사동</t>
  </si>
  <si>
    <t>사동청소년문화의집</t>
  </si>
  <si>
    <t>경기도 안산시 상록구 선진로 112</t>
  </si>
  <si>
    <t>031-417-7999</t>
  </si>
  <si>
    <t>031-417-4449</t>
  </si>
  <si>
    <t>sadong.ansanyouth.or.kr</t>
  </si>
  <si>
    <t>선부동</t>
  </si>
  <si>
    <t>선부청소년문화의집</t>
  </si>
  <si>
    <t>경기도 안산시 단원구 우목골길 7-15</t>
  </si>
  <si>
    <t>031-485-1155</t>
  </si>
  <si>
    <t>031-483-4200</t>
  </si>
  <si>
    <t>sunbu.ansanyouth.or.kr</t>
  </si>
  <si>
    <t>안산청소년문화의집</t>
  </si>
  <si>
    <t>경기도 안산시 단원구 선부광장1로 6</t>
  </si>
  <si>
    <t>차량등록사업소(3층)</t>
  </si>
  <si>
    <t>031-485-1318</t>
  </si>
  <si>
    <t>031-485-1319</t>
  </si>
  <si>
    <t>www.ansan1318.or.kr/</t>
  </si>
  <si>
    <t>선감동</t>
  </si>
  <si>
    <t>경기도청소년수련원</t>
  </si>
  <si>
    <t>경기도 안산시 단원구 선감로 255</t>
  </si>
  <si>
    <t>032-886-0094</t>
  </si>
  <si>
    <t>032-886-6790</t>
  </si>
  <si>
    <t>대부남동</t>
  </si>
  <si>
    <t>베르아델 유스호스텔</t>
  </si>
  <si>
    <t>㈜베르아델승마클럽(김기영)</t>
  </si>
  <si>
    <t>㈜베르아델승마클럽</t>
  </si>
  <si>
    <t>경기도 안산시 단원구 부흥로 376</t>
  </si>
  <si>
    <t>032-882-2255</t>
  </si>
  <si>
    <t>032-882-2251</t>
  </si>
  <si>
    <t>www.horseride.co.kr</t>
  </si>
  <si>
    <t>단원구</t>
  </si>
  <si>
    <t>단원청소년수련관</t>
  </si>
  <si>
    <t>경기도 안산시 단원구 화정천서로 369(초지동)</t>
  </si>
  <si>
    <t>031-487-8931</t>
  </si>
  <si>
    <t>031-487-8932</t>
  </si>
  <si>
    <t>https://danwon.ansanyouth.or.kr/</t>
  </si>
  <si>
    <t>안성시</t>
  </si>
  <si>
    <t>보개면</t>
  </si>
  <si>
    <t>엄마청소년수련원</t>
  </si>
  <si>
    <t>임계두</t>
  </si>
  <si>
    <t>너리굴문화마을</t>
  </si>
  <si>
    <t>경기도 안성시 보개면 너리굴길 100</t>
  </si>
  <si>
    <t>2층 규모</t>
  </si>
  <si>
    <t>031-675-2171</t>
  </si>
  <si>
    <t>031-675-9681</t>
  </si>
  <si>
    <t>www.culture21.co.kr</t>
  </si>
  <si>
    <t>죽산면</t>
  </si>
  <si>
    <t>안성시다목적야영장</t>
  </si>
  <si>
    <t>안성시장</t>
  </si>
  <si>
    <t>경기도 안성시 죽산면 용설호수길 55-33</t>
  </si>
  <si>
    <t>1층 규모</t>
  </si>
  <si>
    <t>031-678-5396</t>
  </si>
  <si>
    <t>031-678-6839</t>
  </si>
  <si>
    <t>https://www.anseong.go.kr/tourPortal/childcamp/main.do</t>
  </si>
  <si>
    <t>동안성청소년문화의집</t>
  </si>
  <si>
    <t>한국청소년다사랑봉사회</t>
  </si>
  <si>
    <t>경기도 안성시 죽산면 중서길 21-4, 2층</t>
  </si>
  <si>
    <t>031-676-0924</t>
  </si>
  <si>
    <t>0504-298-0797</t>
  </si>
  <si>
    <t>easyc.kr</t>
  </si>
  <si>
    <t>안성1동</t>
  </si>
  <si>
    <t>안성시청소년수련관</t>
  </si>
  <si>
    <t>사단법인 더 나은세상</t>
  </si>
  <si>
    <t>경기도 안성시 장기로 107</t>
  </si>
  <si>
    <t>4층규모</t>
  </si>
  <si>
    <t>031-671-3124</t>
  </si>
  <si>
    <t>070-8677-3114</t>
  </si>
  <si>
    <t>www.asyc.or.kr</t>
  </si>
  <si>
    <t>안양시</t>
  </si>
  <si>
    <t>비산동</t>
  </si>
  <si>
    <t>동안청소년수련관</t>
  </si>
  <si>
    <t>안양시장</t>
  </si>
  <si>
    <t>안양시청소년재단</t>
  </si>
  <si>
    <t>경기도 안양시 동안구 동안로 155</t>
  </si>
  <si>
    <t>지하3층,지상4층</t>
  </si>
  <si>
    <t>031-8045-4923</t>
  </si>
  <si>
    <t>031-8045-4925</t>
  </si>
  <si>
    <t>ayf.or.kr/dongan</t>
  </si>
  <si>
    <t>호계동</t>
  </si>
  <si>
    <t>호계청소년문화의집</t>
  </si>
  <si>
    <t>경기도 안양시 동안구 경수대로 504 호계복합청사 2층</t>
  </si>
  <si>
    <t>지하2층,지상4층 중 지상2층</t>
  </si>
  <si>
    <t>031-8045-4936</t>
  </si>
  <si>
    <t>031-427-4909</t>
  </si>
  <si>
    <t>ayf.or.kr/hogye</t>
  </si>
  <si>
    <t>안양동</t>
  </si>
  <si>
    <t>만안청소년수련관</t>
  </si>
  <si>
    <t>경기도 안양시 만안구 냉천로31번길 33</t>
  </si>
  <si>
    <t>031-470-4700</t>
  </si>
  <si>
    <t>031-470-4799</t>
  </si>
  <si>
    <t>ayf.or.kr/manan</t>
  </si>
  <si>
    <t>석수동</t>
  </si>
  <si>
    <t>석수청소년문화의집</t>
  </si>
  <si>
    <t>경기도 안양시 만안구 경수대로 1252 석수1동주민센터 4층</t>
  </si>
  <si>
    <t>지하1층,지상4층 중 지상4층</t>
  </si>
  <si>
    <t>031-471-0833</t>
  </si>
  <si>
    <t>031-471-0834</t>
  </si>
  <si>
    <t>ayf.or.kr/way</t>
  </si>
  <si>
    <t>평촌동</t>
  </si>
  <si>
    <t>평촌청소년문화의집</t>
  </si>
  <si>
    <t>경기도 안양시 흥안대로 394</t>
  </si>
  <si>
    <t>031-360-7250</t>
  </si>
  <si>
    <t>031-360-7254</t>
  </si>
  <si>
    <t>ayf.or.kr/pyeongchon</t>
  </si>
  <si>
    <t>만안청소년문화의집</t>
  </si>
  <si>
    <t>경기도 안양시 만안구 안양로 384번길 50 안양2동주민센터 4층</t>
  </si>
  <si>
    <t>031-466-7800</t>
  </si>
  <si>
    <t>031-466-7801</t>
  </si>
  <si>
    <t>안양블루몬테 유스호스텔</t>
  </si>
  <si>
    <t>홍현성</t>
  </si>
  <si>
    <t>현대엔지니어링㈜</t>
  </si>
  <si>
    <t>경기도 안양시 만안구 예술공원로 213</t>
  </si>
  <si>
    <t>지하1층,지상3층중 지상2층</t>
  </si>
  <si>
    <t>031-426-7800</t>
  </si>
  <si>
    <t>031-426-7801</t>
  </si>
  <si>
    <t>박달2동</t>
  </si>
  <si>
    <t>박달청소년문화의집</t>
  </si>
  <si>
    <t>경기도 안양시 만안구 박달로 440</t>
  </si>
  <si>
    <t>관양동</t>
  </si>
  <si>
    <t>관양청소년문화의집</t>
  </si>
  <si>
    <t>경기도 안양시 동안구 동편로 51 관양동다목적복지회관 2층</t>
  </si>
  <si>
    <t>양주시</t>
  </si>
  <si>
    <t>광적면</t>
  </si>
  <si>
    <t>딱따구리청소년수련원</t>
  </si>
  <si>
    <t>신필호</t>
  </si>
  <si>
    <t>경기도 양주시 광적면 현석로 313-44</t>
  </si>
  <si>
    <t>031-837-4461</t>
  </si>
  <si>
    <t>031-837-4463</t>
  </si>
  <si>
    <t>www.ddkr.co.kr/</t>
  </si>
  <si>
    <t>회천2동</t>
  </si>
  <si>
    <t>양주시청소년수련원</t>
  </si>
  <si>
    <t>양주시장</t>
  </si>
  <si>
    <t>경기도 양주시 평화로 1475번길 623</t>
  </si>
  <si>
    <t>031-8082-4150</t>
  </si>
  <si>
    <t>031-8082-4159</t>
  </si>
  <si>
    <t>www.yangju.go.kr/ytc/index.do</t>
  </si>
  <si>
    <t>양주1동</t>
  </si>
  <si>
    <t>한마음청소년수련원</t>
  </si>
  <si>
    <t>(재)천주교의정부교구유지재단</t>
  </si>
  <si>
    <t>경기도 양주시 버들로 147-142</t>
  </si>
  <si>
    <t>031-840-0018</t>
  </si>
  <si>
    <t>031-522-0528</t>
  </si>
  <si>
    <t>www.hanmaum84.com/</t>
  </si>
  <si>
    <t>양주2동</t>
  </si>
  <si>
    <t>양주청소년문화의집</t>
  </si>
  <si>
    <t>경기도 양주시 고읍남로 205</t>
  </si>
  <si>
    <t>031-8082-4160</t>
  </si>
  <si>
    <t>031-8082-4169</t>
  </si>
  <si>
    <t>https://www.yangju.go.kr/yjyouth1318/index.do</t>
  </si>
  <si>
    <t>고암동</t>
  </si>
  <si>
    <t>회천청소년문화의집</t>
  </si>
  <si>
    <t>(재)한국기독교청년회전국연맹유지재단</t>
  </si>
  <si>
    <t>경기도 양주시 고암길 251-1, 2층</t>
  </si>
  <si>
    <t>031-861-6446</t>
  </si>
  <si>
    <t>0505-061-6446</t>
  </si>
  <si>
    <t>http://www.hcyouth.kr</t>
  </si>
  <si>
    <t>양평군</t>
  </si>
  <si>
    <t>지평면</t>
  </si>
  <si>
    <t>미리내청소년수련원</t>
  </si>
  <si>
    <t>이광섭</t>
  </si>
  <si>
    <t>㈜미리내</t>
  </si>
  <si>
    <t>경기도 양평군 지평면 월산저수지길 21</t>
  </si>
  <si>
    <t>031-774-3131</t>
  </si>
  <si>
    <t>031-774-3100</t>
  </si>
  <si>
    <t xml:space="preserve">www.mirinaecamp.com/ </t>
  </si>
  <si>
    <t>용문면</t>
  </si>
  <si>
    <t>동부청소년문화의집</t>
  </si>
  <si>
    <t>양평군수</t>
  </si>
  <si>
    <t>아름다운 청소년들</t>
  </si>
  <si>
    <t>경기도 양평군 용문면 용문로 391</t>
  </si>
  <si>
    <t>2021.08.05.</t>
  </si>
  <si>
    <t>031-775-1771</t>
  </si>
  <si>
    <t>031-775-7963</t>
  </si>
  <si>
    <t>www.ydyouth.or.kr</t>
  </si>
  <si>
    <t>양서면</t>
  </si>
  <si>
    <t>서부청소년문화의집</t>
  </si>
  <si>
    <t>함께크는사회적협동조합</t>
  </si>
  <si>
    <t>경기도 양평군 양서면 양수로 110</t>
  </si>
  <si>
    <t>지상2층,지하1층</t>
  </si>
  <si>
    <t>031-771-1318</t>
  </si>
  <si>
    <t>031-771-1317</t>
  </si>
  <si>
    <t>www.yplanet.or.kr</t>
  </si>
  <si>
    <t>양평읍</t>
  </si>
  <si>
    <t>양평청소년문화의집</t>
  </si>
  <si>
    <t>(사)아름다운청소년들</t>
  </si>
  <si>
    <t>경기도 양평군 양평읍 중앙로 33-1</t>
  </si>
  <si>
    <t>2023.12.20.</t>
  </si>
  <si>
    <t>031-773-6331</t>
  </si>
  <si>
    <t>031-773-6330</t>
  </si>
  <si>
    <t>https://www.ypyouth.or.kr/</t>
  </si>
  <si>
    <t>여주시</t>
  </si>
  <si>
    <t>천송동</t>
  </si>
  <si>
    <t>여주청소년문화의집</t>
  </si>
  <si>
    <t>여주시장</t>
  </si>
  <si>
    <t>경기도 여주시 천송동 신륵사길 6-8</t>
  </si>
  <si>
    <t>031-886-0545</t>
  </si>
  <si>
    <t>0502-886-8899</t>
  </si>
  <si>
    <t>http://youth.yj21.net/</t>
  </si>
  <si>
    <t>강천면</t>
  </si>
  <si>
    <t>여주청소년수련의집</t>
  </si>
  <si>
    <t>(사)한국지체장애인협회 대표 김광환</t>
  </si>
  <si>
    <t>한국지체장애인협회</t>
  </si>
  <si>
    <t>경기도 여주시 강천면 부평로 3</t>
  </si>
  <si>
    <t>031-886-2200</t>
  </si>
  <si>
    <t>031-885-4147</t>
  </si>
  <si>
    <t>http://청소년수련원.kr/</t>
  </si>
  <si>
    <t>대진청소년수련원</t>
  </si>
  <si>
    <t>윤은도</t>
  </si>
  <si>
    <t>경기도 여주시 강천면 강천로 696</t>
  </si>
  <si>
    <t>031-887-0850</t>
  </si>
  <si>
    <t>031-887-0855</t>
  </si>
  <si>
    <t>http://daejinyc.co.kr/</t>
  </si>
  <si>
    <t>능서면</t>
  </si>
  <si>
    <t>비전빌리지유스호스텔</t>
  </si>
  <si>
    <t>홍혜실</t>
  </si>
  <si>
    <t>경기도 여주시 능서면 용은길 28</t>
  </si>
  <si>
    <t>031-884-1717</t>
  </si>
  <si>
    <t>031-884-0625</t>
  </si>
  <si>
    <t>http://www.maiimvisionvillage.co.kr/</t>
  </si>
  <si>
    <t>점동면</t>
  </si>
  <si>
    <t>푸른달청소년수련원</t>
  </si>
  <si>
    <t>신호정</t>
  </si>
  <si>
    <t>경기도 여주시 점동면 선사길 377</t>
  </si>
  <si>
    <t>지상5층</t>
  </si>
  <si>
    <t>031-883-8200</t>
  </si>
  <si>
    <t>031-883-8010</t>
  </si>
  <si>
    <t>http://www.yjherbland.co.kr/</t>
  </si>
  <si>
    <t>여주중앙청소년수련원</t>
  </si>
  <si>
    <t>김동명</t>
  </si>
  <si>
    <t>경기도 여주시 점동면 장여로 987-189</t>
  </si>
  <si>
    <t>031-884-9911</t>
  </si>
  <si>
    <t>031-884-9109</t>
  </si>
  <si>
    <t>http://yjyc.co.kr/</t>
  </si>
  <si>
    <t>연천군</t>
  </si>
  <si>
    <t>연천읍</t>
  </si>
  <si>
    <t>연천군청소년수련관</t>
  </si>
  <si>
    <t>연천군수</t>
  </si>
  <si>
    <t>(재)연천군청소년육성재단</t>
  </si>
  <si>
    <t>경기도 연천군 연천읍 문화로 140</t>
  </si>
  <si>
    <t>031-834-8785</t>
  </si>
  <si>
    <t>031-834-2119</t>
  </si>
  <si>
    <t>www.ycyc.or.kr</t>
  </si>
  <si>
    <t>전곡읍</t>
  </si>
  <si>
    <t>한반도통일미래센터</t>
  </si>
  <si>
    <t>통일부장관</t>
  </si>
  <si>
    <t>통일부</t>
  </si>
  <si>
    <t>경기도 연천군 전곡읍 남계로 408</t>
  </si>
  <si>
    <t>031-839-7931</t>
  </si>
  <si>
    <t>031-839-7963</t>
  </si>
  <si>
    <t xml:space="preserve">unifuture.unikorea.go.kr </t>
  </si>
  <si>
    <t>연천군청소년문화의집</t>
  </si>
  <si>
    <t>경기도 연천군 연천읍 전영로 11</t>
  </si>
  <si>
    <t>지하1층, 지상6층에 1층</t>
  </si>
  <si>
    <t>031-832-7942</t>
  </si>
  <si>
    <t>031-832-6627</t>
  </si>
  <si>
    <t>오산시</t>
  </si>
  <si>
    <t>대원동</t>
  </si>
  <si>
    <t>오산남부청소년문화의집</t>
  </si>
  <si>
    <t>오산시장</t>
  </si>
  <si>
    <t>(사)오산예일</t>
  </si>
  <si>
    <t>경기도 오산시 오산로 132번길 28-5</t>
  </si>
  <si>
    <t>031-376-6283</t>
  </si>
  <si>
    <t>031-376-6280</t>
  </si>
  <si>
    <t xml:space="preserve">www.onycc.or.kr/ </t>
  </si>
  <si>
    <t>신장동</t>
  </si>
  <si>
    <t>꿈빛나래청소년문화의집</t>
  </si>
  <si>
    <t>사단법인 한국청소년진흥재단</t>
  </si>
  <si>
    <t>경기도 오산시 청학로 125</t>
  </si>
  <si>
    <t>031-378-3134</t>
  </si>
  <si>
    <t>031-376-0065</t>
  </si>
  <si>
    <t>www.osan.go.kr/cultureHome</t>
  </si>
  <si>
    <t>오산중앙청소년문화의집</t>
  </si>
  <si>
    <t>재단법인 에이치넷플러스</t>
  </si>
  <si>
    <t>경기도 오산시 경기대로 307, 4층</t>
  </si>
  <si>
    <t>031-378-1318</t>
  </si>
  <si>
    <t>031-378-0924</t>
  </si>
  <si>
    <t>www.osanjaycc.or.kr/</t>
  </si>
  <si>
    <t>용인시</t>
  </si>
  <si>
    <t>보라동</t>
  </si>
  <si>
    <t>한국민속촌유스호스텔</t>
  </si>
  <si>
    <t>정원석</t>
  </si>
  <si>
    <t>조원관광개발㈜</t>
  </si>
  <si>
    <t>경기도 용인시 기흥구 민속촌로 90</t>
  </si>
  <si>
    <t>지하1층,지상1층</t>
  </si>
  <si>
    <t>031-288-1700</t>
  </si>
  <si>
    <t>031-274-3335</t>
  </si>
  <si>
    <t>www.koreanfolk.co.kr/</t>
  </si>
  <si>
    <t>삼가동</t>
  </si>
  <si>
    <t>용인시청소년수련관</t>
  </si>
  <si>
    <t>용인시장</t>
  </si>
  <si>
    <t>(재)용인시청소년미래재단</t>
  </si>
  <si>
    <t>경기도 용인시 처인구 중부대로 1199</t>
  </si>
  <si>
    <t>031-324-9955</t>
  </si>
  <si>
    <t>031-324-9959</t>
  </si>
  <si>
    <t>https://www.yiyf.or.kr/youthyonginsi</t>
  </si>
  <si>
    <t>신갈동</t>
  </si>
  <si>
    <t>신갈청소년문화의집</t>
  </si>
  <si>
    <t>경기도 용인시 기흥구 관곡로 43</t>
  </si>
  <si>
    <t>031-328-9886</t>
  </si>
  <si>
    <t>031-284-5604</t>
  </si>
  <si>
    <t>https://www.yiyf.or.kr/sgyouth</t>
  </si>
  <si>
    <t>유림동</t>
  </si>
  <si>
    <t>유림청소년문화의집</t>
  </si>
  <si>
    <t>경기도 용인시 처인구 백옥대로 1392번길 29</t>
  </si>
  <si>
    <t>031-328-9891</t>
  </si>
  <si>
    <t>031-332-1095</t>
  </si>
  <si>
    <t>https://www.yiyf.or.kr/yurimyouth</t>
  </si>
  <si>
    <t>풍덕천동</t>
  </si>
  <si>
    <t>수지청소년문화의집</t>
  </si>
  <si>
    <t>경기도 용인시 수지구 포은대로 435</t>
  </si>
  <si>
    <t>031-328-9881</t>
  </si>
  <si>
    <t>031-266-1086</t>
  </si>
  <si>
    <t>https://www.yiyf.or.kr/sujiyouth</t>
  </si>
  <si>
    <t>양지면</t>
  </si>
  <si>
    <t>용인시청소년수련원</t>
  </si>
  <si>
    <t>경기도 용인시 처인구 양지면  죽양대로 2071번길 50</t>
  </si>
  <si>
    <t>031-337-2321</t>
  </si>
  <si>
    <t>031-337-2322</t>
  </si>
  <si>
    <t>https://www.yiyf.or.kr/yytc</t>
  </si>
  <si>
    <t>파인유스호스텔</t>
  </si>
  <si>
    <t>임태주</t>
  </si>
  <si>
    <t>미래개발 주식회사</t>
  </si>
  <si>
    <t>경기도 용인시 처인구 남평로 112</t>
  </si>
  <si>
    <t>031-329-9515</t>
  </si>
  <si>
    <t>031-338-7897</t>
  </si>
  <si>
    <t>www.pineyouth.co.kr/</t>
  </si>
  <si>
    <t>백암면</t>
  </si>
  <si>
    <t>용인씨씨유스호스텔</t>
  </si>
  <si>
    <t>석천씨씨㈜, 용인씨씨㈜</t>
  </si>
  <si>
    <t>경기도 용인시 처인구 백암면 황새울로 255</t>
  </si>
  <si>
    <t>031-332-3323</t>
  </si>
  <si>
    <t>031-332-2318</t>
  </si>
  <si>
    <t>www.yongincc.com/</t>
  </si>
  <si>
    <t>모현읍</t>
  </si>
  <si>
    <t>모현야영장</t>
  </si>
  <si>
    <t>한국걸스카우스연맹</t>
  </si>
  <si>
    <t>한국걸스카우스서울연맹</t>
  </si>
  <si>
    <t>경기도 용인시 처인구 모현읍 월촌로10번길 20</t>
  </si>
  <si>
    <t>070-7008-6635</t>
  </si>
  <si>
    <t>02-720-7861</t>
  </si>
  <si>
    <t>www.gscamp.smpon.kr/</t>
  </si>
  <si>
    <t>고기동</t>
  </si>
  <si>
    <t>광교포레유스호스텔</t>
  </si>
  <si>
    <t>한형숙 외 1인(이재숙)</t>
  </si>
  <si>
    <t>경기도 용인시 수지구 동천로 591-9 (고기동)</t>
  </si>
  <si>
    <t>031-263-4555</t>
  </si>
  <si>
    <t>www.gforet.kr</t>
  </si>
  <si>
    <t>의왕시</t>
  </si>
  <si>
    <t>고천동</t>
  </si>
  <si>
    <t>의왕시청소년수련관</t>
  </si>
  <si>
    <t>의왕시장</t>
  </si>
  <si>
    <t>의왕시청소년재단</t>
  </si>
  <si>
    <t>경기도 의왕시 문화공원로 33</t>
  </si>
  <si>
    <t>031-477-1881</t>
  </si>
  <si>
    <t>031-477-8839</t>
  </si>
  <si>
    <t>https://www.uyf.or.kr/uw1318/79</t>
  </si>
  <si>
    <t>부곡동청소년문화의집</t>
  </si>
  <si>
    <t>경기도 의왕시 덕영대로 166</t>
  </si>
  <si>
    <t>031-461-9533</t>
  </si>
  <si>
    <t>031-461-9534</t>
  </si>
  <si>
    <t>https://www.uyf.or.kr/moa1318/326</t>
  </si>
  <si>
    <t>포일동</t>
  </si>
  <si>
    <t>포일청소년문화의집</t>
  </si>
  <si>
    <t>경기도 의왕시 안양판교로 82</t>
  </si>
  <si>
    <t>031-345-4700</t>
  </si>
  <si>
    <t>031-345-4709</t>
  </si>
  <si>
    <t>https://www.uyf.or.kr/foil1318/820</t>
  </si>
  <si>
    <t>의정부시</t>
  </si>
  <si>
    <t>의정부동</t>
  </si>
  <si>
    <t>의정부시청소년수련관</t>
  </si>
  <si>
    <t>의정부시장</t>
  </si>
  <si>
    <t>(재)의정부시청소년재단</t>
  </si>
  <si>
    <t>경기도 의정부시 의정로 27</t>
  </si>
  <si>
    <t>031-828-9500</t>
  </si>
  <si>
    <t>031-828-9509</t>
  </si>
  <si>
    <t>www.uiyouth.or.kr/</t>
  </si>
  <si>
    <t>금오동</t>
  </si>
  <si>
    <t>새말청소년센터</t>
  </si>
  <si>
    <t>경기도 의정부시 새말로 40</t>
  </si>
  <si>
    <t>031-828-9580</t>
  </si>
  <si>
    <t>031-828-9508</t>
  </si>
  <si>
    <t>가능동</t>
  </si>
  <si>
    <t>흥선청소년센터</t>
  </si>
  <si>
    <t>경기도 의정부시 의정로 88번길 9</t>
  </si>
  <si>
    <t>031-828-9590</t>
  </si>
  <si>
    <t>031-828-9505</t>
  </si>
  <si>
    <t>고산동</t>
  </si>
  <si>
    <t>고산청소년센터</t>
  </si>
  <si>
    <t>경기도 의정부시 서광로 191</t>
  </si>
  <si>
    <t>031-828-9548</t>
  </si>
  <si>
    <t>031-828-9549</t>
  </si>
  <si>
    <t>이천시</t>
  </si>
  <si>
    <t>마장면</t>
  </si>
  <si>
    <t xml:space="preserve">자연나라청소년수련원 </t>
  </si>
  <si>
    <t>㈜동심</t>
  </si>
  <si>
    <t>농업회사법인㈜ 자연나라</t>
  </si>
  <si>
    <t>경기도 이천시 마장면 오천로164번길 227</t>
  </si>
  <si>
    <t>031-634-6339</t>
  </si>
  <si>
    <t>0303-0955-1515</t>
  </si>
  <si>
    <t>www.naturecamp.kr</t>
  </si>
  <si>
    <t>부발읍</t>
  </si>
  <si>
    <t>부발청소년문화의집</t>
  </si>
  <si>
    <t>이천시장</t>
  </si>
  <si>
    <t>이천시청소년재단</t>
  </si>
  <si>
    <t>경기도 이천시 부발읍 무촌로 121</t>
  </si>
  <si>
    <t>031-634-7000</t>
  </si>
  <si>
    <t>031-634-7015</t>
  </si>
  <si>
    <t>www.icfyouth.or.kr</t>
  </si>
  <si>
    <t>창전동</t>
  </si>
  <si>
    <t>창전청소년문화의집</t>
  </si>
  <si>
    <t>경기도 이천시 영창로163번길 28</t>
  </si>
  <si>
    <t>031-8011-3080</t>
  </si>
  <si>
    <t>031-8011-3004</t>
  </si>
  <si>
    <t>장호원읍</t>
  </si>
  <si>
    <t>청미청소년문화의집</t>
  </si>
  <si>
    <t>경기도 이천시 장호원읍 서동대로 8965번길 57</t>
  </si>
  <si>
    <t>031-8011-3100</t>
  </si>
  <si>
    <t>031-8011-3005</t>
  </si>
  <si>
    <t>이천서희청소년문화센터</t>
  </si>
  <si>
    <t>경기도 이천시 영창로 260</t>
  </si>
  <si>
    <t>031-8011-3030</t>
  </si>
  <si>
    <t>031-8011-3002</t>
  </si>
  <si>
    <t>파주시</t>
  </si>
  <si>
    <t>동패동</t>
  </si>
  <si>
    <t>교하청소년문화의집</t>
  </si>
  <si>
    <t>파주시장</t>
  </si>
  <si>
    <t>파주시청소년재단</t>
  </si>
  <si>
    <t>경기도 파주시 책향기로 396</t>
  </si>
  <si>
    <t>031-540-5220</t>
  </si>
  <si>
    <t>031-952-2220</t>
  </si>
  <si>
    <t>www.pcy.or.kr/gh</t>
  </si>
  <si>
    <t>금촌동</t>
  </si>
  <si>
    <t>금촌청소년문화의집</t>
  </si>
  <si>
    <t>경기도 파주시 시민회관길 40</t>
  </si>
  <si>
    <t>지하1층, 지상1층, 지상3층</t>
  </si>
  <si>
    <t>031-540-5240</t>
  </si>
  <si>
    <t>031-941-7941</t>
  </si>
  <si>
    <t>www.pcy.or.kr/gc</t>
  </si>
  <si>
    <t>문산읍</t>
  </si>
  <si>
    <t>문산청소년문화의집</t>
  </si>
  <si>
    <t>경기도 파주시 문산읍 통일로 1680</t>
  </si>
  <si>
    <t>지하1층~지상6층</t>
  </si>
  <si>
    <t>031-540-5260</t>
  </si>
  <si>
    <t>031-953-2089</t>
  </si>
  <si>
    <t>www.pcy.or.kr</t>
  </si>
  <si>
    <t>조리읍</t>
  </si>
  <si>
    <t>영산수련원</t>
  </si>
  <si>
    <t>(재)순복음선교회</t>
  </si>
  <si>
    <t>경기도 파주시 조리읍 등원로 391번길 40(오산리 38-1)</t>
  </si>
  <si>
    <t>031-934-7777</t>
  </si>
  <si>
    <t>031-934-7779</t>
  </si>
  <si>
    <t>www.fgcamp.com/</t>
  </si>
  <si>
    <t>와동동</t>
  </si>
  <si>
    <t>운정청소년문화의집</t>
  </si>
  <si>
    <t>경기도 파주시 와석순환로 415(와동동)</t>
  </si>
  <si>
    <t>031-540-5280</t>
  </si>
  <si>
    <t>031-949-9980</t>
  </si>
  <si>
    <t>www.pcy.or.kr/uj</t>
  </si>
  <si>
    <t>군내면</t>
  </si>
  <si>
    <t>캠프그리브스유스호스텔</t>
  </si>
  <si>
    <t>경기관광공사</t>
  </si>
  <si>
    <t>경기도 파주시 군내면 적십자로 137</t>
  </si>
  <si>
    <t>031-953-6970</t>
  </si>
  <si>
    <t>031-953-8977</t>
  </si>
  <si>
    <t>dmzcamp131.or.kr/</t>
  </si>
  <si>
    <t>파주시청소년수련관</t>
  </si>
  <si>
    <t>031-953-5418</t>
  </si>
  <si>
    <t>www.pcy.or.kr/</t>
  </si>
  <si>
    <t>평택시</t>
  </si>
  <si>
    <t>팽성읍</t>
  </si>
  <si>
    <t>팽성청소년문화의집</t>
  </si>
  <si>
    <t>평택시장</t>
  </si>
  <si>
    <t>(재)평택시청소년재단</t>
  </si>
  <si>
    <t>경기도 평택시 팽성읍 안정순환로 186번길 8</t>
  </si>
  <si>
    <t>지상3층중 2.3층</t>
  </si>
  <si>
    <t>031-657-1103</t>
  </si>
  <si>
    <t>031-691-1031</t>
  </si>
  <si>
    <t>https://www.pyf.or.kr/paengseong/index.do</t>
  </si>
  <si>
    <t>이충동</t>
  </si>
  <si>
    <t>북부청소년문화의집</t>
  </si>
  <si>
    <t>경기도 평택시 이충로 84-6 (평생학습센터3층)</t>
  </si>
  <si>
    <t>지상5층 중 3층</t>
  </si>
  <si>
    <t>031-668-8682</t>
  </si>
  <si>
    <t>031-668-8683</t>
  </si>
  <si>
    <t>https://www.pyf.or.kr/bukbu/index.do</t>
  </si>
  <si>
    <t>원평동</t>
  </si>
  <si>
    <t>원평청소년문화의집</t>
  </si>
  <si>
    <t>(사)흥사단평택안성지부</t>
  </si>
  <si>
    <t>경기도 평택시 원평로 83번길 38-28</t>
  </si>
  <si>
    <t>031-656-2633</t>
  </si>
  <si>
    <t>031-656-2635</t>
  </si>
  <si>
    <t>https://blog.naver.com/wonpyeongtown</t>
  </si>
  <si>
    <t>안중읍</t>
  </si>
  <si>
    <t>안중청소년문화의집</t>
  </si>
  <si>
    <t>경기도 평택시 안중읍 안현로 400</t>
  </si>
  <si>
    <t>031-683-6991</t>
  </si>
  <si>
    <t>031-683-6992</t>
  </si>
  <si>
    <t>https://www.pyf.or.kr/anjung/index.do</t>
  </si>
  <si>
    <t>서정동</t>
  </si>
  <si>
    <t>서정청소년문화의집</t>
  </si>
  <si>
    <t>(사)평택YFC</t>
  </si>
  <si>
    <t>경기도 평택시 서정로 202(서정동 2층)</t>
  </si>
  <si>
    <t>지하1층,지상2층
중 2층</t>
  </si>
  <si>
    <t>031-663-1888</t>
  </si>
  <si>
    <t>031-663-1889</t>
  </si>
  <si>
    <t>https://band.us/@sjyouth</t>
  </si>
  <si>
    <t>합정동</t>
  </si>
  <si>
    <t>평택시청소년문화센터</t>
  </si>
  <si>
    <t>경기도 평택시 평남로 616</t>
  </si>
  <si>
    <t>031-646-5400</t>
  </si>
  <si>
    <t>031-646-5499</t>
  </si>
  <si>
    <t>www.ptycc.kr/</t>
  </si>
  <si>
    <t>진위면</t>
  </si>
  <si>
    <t>무봉산청소년수련원</t>
  </si>
  <si>
    <t>경기도 평택시 진위면 진위로181-94</t>
  </si>
  <si>
    <t>031-610-4416</t>
  </si>
  <si>
    <t>031-664-8904</t>
  </si>
  <si>
    <t>https://www.pyf.or.kr/moobong/index.do</t>
  </si>
  <si>
    <t>청북읍</t>
  </si>
  <si>
    <t>서평택아츠밸리유스호스텔</t>
  </si>
  <si>
    <t>서정자</t>
  </si>
  <si>
    <t>경기도 평택시 청북면 오금길 220</t>
  </si>
  <si>
    <t>031-683-7677</t>
  </si>
  <si>
    <t>포천시</t>
  </si>
  <si>
    <t>소흘읍</t>
  </si>
  <si>
    <t>포천시청소년교육문화센터</t>
  </si>
  <si>
    <t>포천시장</t>
  </si>
  <si>
    <t>(재)포천시청소년재단</t>
  </si>
  <si>
    <t>경기도 포천시 소흘읍 호국로 523번길 59-56</t>
  </si>
  <si>
    <t>031-538-3392</t>
  </si>
  <si>
    <t>031-538-3395</t>
  </si>
  <si>
    <t>http://youth.pocheon.go.kr</t>
  </si>
  <si>
    <t>신북면</t>
  </si>
  <si>
    <t>포천염광수련원</t>
  </si>
  <si>
    <t>사단법인 태권도외교단</t>
  </si>
  <si>
    <t>㈜염광수련원</t>
  </si>
  <si>
    <t>경기도 포천시 신북면 청신로 440</t>
  </si>
  <si>
    <t>031-534-6009</t>
  </si>
  <si>
    <t>031-536-0849</t>
  </si>
  <si>
    <t>http://www.ykedu.kr</t>
  </si>
  <si>
    <t>이동면</t>
  </si>
  <si>
    <t>축구마을</t>
  </si>
  <si>
    <t>㈜축구마을</t>
  </si>
  <si>
    <t>경기도 포천시 이동면 새낭로 465-275</t>
  </si>
  <si>
    <t>지상2층 옥탑1층</t>
  </si>
  <si>
    <t>031-536-6288</t>
  </si>
  <si>
    <t>031-536-6277</t>
  </si>
  <si>
    <t>관인면</t>
  </si>
  <si>
    <t>아침햇살청소년수련원</t>
  </si>
  <si>
    <t>㈜바로교육문화</t>
  </si>
  <si>
    <t>경기도 포천시 관인면 찬우물길 201-47</t>
  </si>
  <si>
    <t>지상 2층</t>
  </si>
  <si>
    <t>031-533-0573</t>
  </si>
  <si>
    <t>031-533-2043</t>
  </si>
  <si>
    <t>http://www.imorningsun.net</t>
  </si>
  <si>
    <t>포천동</t>
  </si>
  <si>
    <t>포천청소년문화의집</t>
  </si>
  <si>
    <t>경기도 포천시 왕방로 169</t>
  </si>
  <si>
    <t>031-538-3380</t>
  </si>
  <si>
    <t>031-538-3388</t>
  </si>
  <si>
    <t>http://youth.pocheon.go.kr/poycc/</t>
  </si>
  <si>
    <t>아침햇살청소년야영장</t>
  </si>
  <si>
    <t>경기도 포천시 관인면 찬우물길 177</t>
  </si>
  <si>
    <t>K-수련원</t>
  </si>
  <si>
    <t>문화류씨우후공파종친회</t>
  </si>
  <si>
    <t>경기도 포천시 관인면 찬우물길 68</t>
  </si>
  <si>
    <t>0507-1369-4413</t>
  </si>
  <si>
    <t>하남시</t>
  </si>
  <si>
    <t>덕풍동</t>
  </si>
  <si>
    <t>덕풍청소년문화의집</t>
  </si>
  <si>
    <t>하남시장</t>
  </si>
  <si>
    <t>경기도 하남시 덕풍공원로 12</t>
  </si>
  <si>
    <t>지상4층 중3,4층</t>
  </si>
  <si>
    <t>031-794-7142</t>
  </si>
  <si>
    <t>031-794-1381</t>
  </si>
  <si>
    <t xml:space="preserve">www.hanamyouth.or.kr/ </t>
  </si>
  <si>
    <t>풍산동</t>
  </si>
  <si>
    <t>하남시청소년수련관</t>
  </si>
  <si>
    <t>경기도 하남시 조정대로 111</t>
  </si>
  <si>
    <t>지하1층, 지상1~4층</t>
  </si>
  <si>
    <t>031-760-5800</t>
  </si>
  <si>
    <t>031-624-4377</t>
  </si>
  <si>
    <t>www.hnyouth.kr</t>
  </si>
  <si>
    <t>감일동</t>
  </si>
  <si>
    <t>감일청소년문화의집</t>
  </si>
  <si>
    <t>경기도 하남시 감일순환로 181</t>
  </si>
  <si>
    <t>지하1층 지상3층</t>
  </si>
  <si>
    <t>02-484-0924</t>
  </si>
  <si>
    <t>02-484-0925</t>
  </si>
  <si>
    <t>화성시</t>
  </si>
  <si>
    <t>동탄5동</t>
  </si>
  <si>
    <t>새싹동산청려수련원</t>
  </si>
  <si>
    <t>이명림</t>
  </si>
  <si>
    <t>사회복지법인 한국사회봉사회</t>
  </si>
  <si>
    <t>경기도 화성시 풀무골로 110번길 69</t>
  </si>
  <si>
    <t>지상3층,
지하1층</t>
  </si>
  <si>
    <t>031-376-5786</t>
  </si>
  <si>
    <t>031-376-4717</t>
  </si>
  <si>
    <t>www.kssghtc.org/</t>
  </si>
  <si>
    <t>서신면</t>
  </si>
  <si>
    <t>하내테마파크</t>
  </si>
  <si>
    <t>전학열</t>
  </si>
  <si>
    <t>경기도 화성시 서신면 당성로 102</t>
  </si>
  <si>
    <t>031-357-6151</t>
  </si>
  <si>
    <t>031-357-6101</t>
  </si>
  <si>
    <t xml:space="preserve"> www.hane.co.kr/</t>
  </si>
  <si>
    <t>병점동</t>
  </si>
  <si>
    <t>화성시청소년수련관</t>
  </si>
  <si>
    <t>화성시장</t>
  </si>
  <si>
    <t>(재)화성시여성가족청소년재단</t>
  </si>
  <si>
    <t>경기도 화성시 태안로 145 (유앤아이센터내)</t>
  </si>
  <si>
    <t>031-267-8853</t>
  </si>
  <si>
    <t>031-267-8849</t>
  </si>
  <si>
    <t>http://unicenter.hswf.or.kr/</t>
  </si>
  <si>
    <t>동탄청소년문화의집</t>
  </si>
  <si>
    <t>경기도 화성시 동탄공원로1길 26-23</t>
  </si>
  <si>
    <t>031-8058-2300</t>
  </si>
  <si>
    <t>031-8058-2107</t>
  </si>
  <si>
    <t>https://www.hswf.or.kr/youthculture/</t>
  </si>
  <si>
    <t>남양읍</t>
  </si>
  <si>
    <t>누림청소년문화의집</t>
  </si>
  <si>
    <t>경기도 화성시 남양읍 시청로 155 (모두누림센터 내)</t>
  </si>
  <si>
    <t>지하3층, 지상4층</t>
  </si>
  <si>
    <t>031-350-4345</t>
  </si>
  <si>
    <t>031-350-4349</t>
  </si>
  <si>
    <t>http://modunurim.hswf.or.kr/</t>
  </si>
  <si>
    <t>우정읍</t>
  </si>
  <si>
    <t>우정청소년문화의집</t>
  </si>
  <si>
    <t>경기도 화성시 우정읍 장안로 13-5</t>
  </si>
  <si>
    <t>031-351-2557</t>
  </si>
  <si>
    <t>031-351-2558</t>
  </si>
  <si>
    <t>https://www.hswf.or.kr/</t>
  </si>
  <si>
    <t>강릉시</t>
  </si>
  <si>
    <t>연곡면</t>
  </si>
  <si>
    <t>강릉시청소년문화의집</t>
  </si>
  <si>
    <t>강릉시장</t>
  </si>
  <si>
    <t>강원도 강릉시 연곡면 연주로 224</t>
  </si>
  <si>
    <t>033-640-4956</t>
  </si>
  <si>
    <t>033-661-4958</t>
  </si>
  <si>
    <t>www.gn.go.kr/gnyouth/</t>
  </si>
  <si>
    <t>교동</t>
  </si>
  <si>
    <t>강릉시청소년수련관</t>
  </si>
  <si>
    <t>강원도 강릉시 종합운동장길72-21(교동)</t>
  </si>
  <si>
    <t>지하1,지상3층</t>
  </si>
  <si>
    <t>033-660-2391</t>
  </si>
  <si>
    <t>033-642-4795</t>
  </si>
  <si>
    <t>주문진읍</t>
  </si>
  <si>
    <t>강릉시청소년해양수련원</t>
  </si>
  <si>
    <t>한국해양소년단강원연맹</t>
  </si>
  <si>
    <t>강원도 강릉시 주문진읍 동해대로 4940</t>
  </si>
  <si>
    <t>033-662-0911</t>
  </si>
  <si>
    <t>033-662-0777</t>
  </si>
  <si>
    <t>www.badasarang.or.kr</t>
  </si>
  <si>
    <t>강릉시중앙청소년문화의집</t>
  </si>
  <si>
    <t>강릉시창</t>
  </si>
  <si>
    <t>강원도 강릉시 임영로141번길 10</t>
  </si>
  <si>
    <t>033-660-2788</t>
  </si>
  <si>
    <t>033-647-2790</t>
  </si>
  <si>
    <t>고성군</t>
  </si>
  <si>
    <t>간성읍</t>
  </si>
  <si>
    <t>고성청소년수련관</t>
  </si>
  <si>
    <t>고성군수</t>
  </si>
  <si>
    <t>강원특별자치도 고성군 간성읍 수성로 115-43</t>
  </si>
  <si>
    <t>033-680-4231</t>
  </si>
  <si>
    <t>033-680-3168</t>
  </si>
  <si>
    <t>https://gwgs.go.kr/youth/index.do</t>
  </si>
  <si>
    <t>현내면</t>
  </si>
  <si>
    <t>현내청소년문화의집</t>
  </si>
  <si>
    <t>강원특별자치도 고성군 현내면 대진2길 12</t>
  </si>
  <si>
    <t>지상 1층</t>
  </si>
  <si>
    <t>033-680-4239</t>
  </si>
  <si>
    <t>거진읍</t>
  </si>
  <si>
    <t>거진청소년문화의집</t>
  </si>
  <si>
    <t>강원특별자치도 고성군 거진읍 행랑골길 19</t>
  </si>
  <si>
    <t>지하1,지상2층</t>
  </si>
  <si>
    <t>033-680-4242</t>
  </si>
  <si>
    <t>토성면</t>
  </si>
  <si>
    <t>강원특별자치도세계잼버리수련장</t>
  </si>
  <si>
    <t>강원특별도지사</t>
  </si>
  <si>
    <t>강원특별자치도 고성군 토성면 잼버리로 244</t>
  </si>
  <si>
    <t>033-633-8107</t>
  </si>
  <si>
    <t>033-631-8884</t>
  </si>
  <si>
    <t>www.wjs.or.kr/</t>
  </si>
  <si>
    <t>토성청소년문화의집</t>
  </si>
  <si>
    <t>강원특별자치도 고성군 토성면 천진해변길 78</t>
  </si>
  <si>
    <t>033-680-4062</t>
  </si>
  <si>
    <t>동해시</t>
  </si>
  <si>
    <t>발한동</t>
  </si>
  <si>
    <t>향로청소년문화의집</t>
  </si>
  <si>
    <t>동해시장</t>
  </si>
  <si>
    <t>동해시청</t>
  </si>
  <si>
    <t>강원도 동해시 향로1길 10(발한동)</t>
  </si>
  <si>
    <t>033-530-2197</t>
  </si>
  <si>
    <t>033-530-2716</t>
  </si>
  <si>
    <t>www.dh.go.kr/dhyc/index.do</t>
  </si>
  <si>
    <t>동해시청소년수련관</t>
  </si>
  <si>
    <t>강원도 동해시 승지로 315</t>
  </si>
  <si>
    <t>033-530-2196</t>
  </si>
  <si>
    <t>천곡동</t>
  </si>
  <si>
    <t>동해시청소년센터</t>
  </si>
  <si>
    <t>강원도 동해시 덕골길 25(천곡동)</t>
  </si>
  <si>
    <t>033-530-2195</t>
  </si>
  <si>
    <t>삼척시</t>
  </si>
  <si>
    <t>도계읍</t>
  </si>
  <si>
    <t>도계청소년장학센터</t>
  </si>
  <si>
    <t>삼척시장</t>
  </si>
  <si>
    <t xml:space="preserve">강원도 삼척시 도계읍 도계로 254 </t>
  </si>
  <si>
    <t>033-571-2570</t>
  </si>
  <si>
    <t>033-541-0803</t>
  </si>
  <si>
    <t xml:space="preserve">dgyouth.samcheok.go.kr </t>
  </si>
  <si>
    <t>원덕읍</t>
  </si>
  <si>
    <t>원덕청소년문화의집</t>
  </si>
  <si>
    <t>강원도 삼척시 원덕읍 삼척로 446-13</t>
  </si>
  <si>
    <t>033-571-2580</t>
  </si>
  <si>
    <t>033-575-1497</t>
  </si>
  <si>
    <t>wdyouth.samcheok.go.kr</t>
  </si>
  <si>
    <t>근덕면</t>
  </si>
  <si>
    <t>근덕청소년문화의집</t>
  </si>
  <si>
    <t>삼척시 근덕면 삼척로 3681-14</t>
  </si>
  <si>
    <t>033-571-2591</t>
  </si>
  <si>
    <t>033-575-2278</t>
  </si>
  <si>
    <t>성내동</t>
  </si>
  <si>
    <t>삼척시청소년수련관</t>
  </si>
  <si>
    <t>강원도 삼척시 엑스포로 50-1</t>
  </si>
  <si>
    <t>033-571-2550</t>
  </si>
  <si>
    <t>033-576-0532</t>
  </si>
  <si>
    <t>youth.samcheok.go.kr</t>
  </si>
  <si>
    <t>속초시</t>
  </si>
  <si>
    <t>청호동</t>
  </si>
  <si>
    <t>속초시청소년문화의집</t>
  </si>
  <si>
    <t>속초시장</t>
  </si>
  <si>
    <t>속초YMCA</t>
  </si>
  <si>
    <t>강원특별자치도 속초시 청호로 3길 57 속초시아동청소년문화의집 3, 4층</t>
  </si>
  <si>
    <t>지상3층~4층</t>
  </si>
  <si>
    <t>033-631-8998</t>
  </si>
  <si>
    <t>033-637-0924</t>
  </si>
  <si>
    <t xml:space="preserve"> http://www.속초청소년문화의집.com</t>
  </si>
  <si>
    <t>노학동</t>
  </si>
  <si>
    <t>속초시청소년수련관</t>
  </si>
  <si>
    <t>속초시시설관리공단</t>
  </si>
  <si>
    <t>강원특별자치도 속초시 관광로 363번길 14</t>
  </si>
  <si>
    <t>033-630-6284</t>
  </si>
  <si>
    <t>033-635-6025</t>
  </si>
  <si>
    <t>http://www.sokchosiseol.or.kr</t>
  </si>
  <si>
    <t>설악동</t>
  </si>
  <si>
    <t>설악산유스호스텔</t>
  </si>
  <si>
    <t>㈜설악산유스호스텔</t>
  </si>
  <si>
    <t>강원특별자치도 속초시 청봉로 173</t>
  </si>
  <si>
    <t>033-636-7115</t>
  </si>
  <si>
    <t>033-636-7077</t>
  </si>
  <si>
    <t>http://sorakyhostel.com</t>
  </si>
  <si>
    <t>양구군</t>
  </si>
  <si>
    <t>양구읍</t>
  </si>
  <si>
    <t>양구읍청소년문화의집</t>
  </si>
  <si>
    <t>양구군수</t>
  </si>
  <si>
    <t>강원도 양구군 양구읍 관공서로 18</t>
  </si>
  <si>
    <t>033-480-2419</t>
  </si>
  <si>
    <t>국토정중앙면</t>
  </si>
  <si>
    <t>국토정중앙면청소년문화의집</t>
  </si>
  <si>
    <t>강원도 양구군 국토정중앙면 삼팔선로 20-3</t>
  </si>
  <si>
    <t>033-480-4749</t>
  </si>
  <si>
    <t>동면</t>
  </si>
  <si>
    <t>동면청소년문화의집</t>
  </si>
  <si>
    <t>강원도 양구군 동면 금강산로 1693</t>
  </si>
  <si>
    <t>033-480-4818</t>
  </si>
  <si>
    <t>방산면</t>
  </si>
  <si>
    <t>방산면청소년문화의집</t>
  </si>
  <si>
    <t>강원도 양구군 방산면 장거리길 35-10</t>
  </si>
  <si>
    <t>033-480-4868</t>
  </si>
  <si>
    <t>해안면</t>
  </si>
  <si>
    <t>해안면청소년문화의집</t>
  </si>
  <si>
    <t>강원도 양구군 해안면 펀치볼로 1299-10</t>
  </si>
  <si>
    <t>033-480-4918</t>
  </si>
  <si>
    <t>양구군청소년수련관</t>
  </si>
  <si>
    <t>강원도 양구군 양구읍 박수근로 366-27</t>
  </si>
  <si>
    <t>033-480-2589</t>
  </si>
  <si>
    <t>양구군청소년야영장</t>
  </si>
  <si>
    <t>033-480-2585</t>
  </si>
  <si>
    <t>양양군</t>
  </si>
  <si>
    <t>양양읍</t>
  </si>
  <si>
    <t>양양군청소년수련관</t>
  </si>
  <si>
    <t>양양군수</t>
  </si>
  <si>
    <t>강원도 양양군 양양읍 복개길 23-2</t>
  </si>
  <si>
    <t>지하1,지상4층</t>
  </si>
  <si>
    <t>033-670-2926</t>
  </si>
  <si>
    <t>033-670-2809</t>
  </si>
  <si>
    <t>https://www.yangyang.go.kr/gw/youthcenter</t>
  </si>
  <si>
    <t>영월군</t>
  </si>
  <si>
    <t>주천면</t>
  </si>
  <si>
    <t>영월군청소년문화의집</t>
  </si>
  <si>
    <t>영월군수</t>
  </si>
  <si>
    <t>강원도 영월군 주천면 주천로89번길 33-14</t>
  </si>
  <si>
    <t>033-372-3213</t>
  </si>
  <si>
    <t>033-372-3214</t>
  </si>
  <si>
    <t>www.ycy.kr</t>
  </si>
  <si>
    <t>영월읍</t>
  </si>
  <si>
    <t>영월군청소년수련관</t>
  </si>
  <si>
    <t>원주YMCA</t>
  </si>
  <si>
    <t>강원도 영월군 영월읍 제방안길 100</t>
  </si>
  <si>
    <t>지하1층지상3층</t>
  </si>
  <si>
    <t>033-813-1388</t>
  </si>
  <si>
    <t>033-811-1025</t>
  </si>
  <si>
    <t xml:space="preserve">www.ywyc.kr </t>
  </si>
  <si>
    <t>영월에코빌리지 유스호스텔</t>
  </si>
  <si>
    <t>에코유스(사)</t>
  </si>
  <si>
    <t>강원도 영월군 영월읍 동강로 716</t>
  </si>
  <si>
    <t>지상2 지하1</t>
  </si>
  <si>
    <t>033-375-6800</t>
  </si>
  <si>
    <t>033-375-6801</t>
  </si>
  <si>
    <t>http://www.ecovil.co.kr</t>
  </si>
  <si>
    <t>원주시</t>
  </si>
  <si>
    <t>학성동</t>
  </si>
  <si>
    <t>원주청소년문화의집</t>
  </si>
  <si>
    <t>원주시장</t>
  </si>
  <si>
    <t>(사)한국다문화청소년협회</t>
  </si>
  <si>
    <t>강원도 원주시 백간길 119(학성동)</t>
  </si>
  <si>
    <t>033-745-0873</t>
  </si>
  <si>
    <t>033-745-0875</t>
  </si>
  <si>
    <t>www.wjyouth.co.kr</t>
  </si>
  <si>
    <t>중앙청소년문화의집</t>
  </si>
  <si>
    <t>강원도 원주시 중앙로 89(중앙동)</t>
  </si>
  <si>
    <t>1541.24
[증904.9]</t>
  </si>
  <si>
    <t>033-734-3688</t>
  </si>
  <si>
    <t>033-734-3689</t>
  </si>
  <si>
    <t>www.wjyc.or.kr</t>
  </si>
  <si>
    <t>문막읍</t>
  </si>
  <si>
    <t>문막청소년문화의집</t>
  </si>
  <si>
    <t>강원도 원주시 원문로 1771(문막읍)</t>
  </si>
  <si>
    <t>033-813-0924</t>
  </si>
  <si>
    <t>033-813-0925</t>
  </si>
  <si>
    <t>8130924.tistory.com</t>
  </si>
  <si>
    <t>단계동</t>
  </si>
  <si>
    <t>원주시청소년수련관</t>
  </si>
  <si>
    <t>강원도 원주시 서원대로 234 (단계동)</t>
  </si>
  <si>
    <t>033-742-9997</t>
  </si>
  <si>
    <t>033-732-8920</t>
  </si>
  <si>
    <t xml:space="preserve">www.wjyouth.kr </t>
  </si>
  <si>
    <t>지정면</t>
  </si>
  <si>
    <t xml:space="preserve">소금산빌리지청소년수련원 </t>
  </si>
  <si>
    <t>황민혜</t>
  </si>
  <si>
    <t>㈜소금산빌리지</t>
  </si>
  <si>
    <t>강원도 원주시 지정면 소금산길 125</t>
  </si>
  <si>
    <t>033-732-9954</t>
  </si>
  <si>
    <t>033-732-9939</t>
  </si>
  <si>
    <t xml:space="preserve">www.ganhyuncamp.co.kr </t>
  </si>
  <si>
    <t>신림면</t>
  </si>
  <si>
    <t>피노키오청소년수련원 (구- 치악산황둔청소년수련원)</t>
  </si>
  <si>
    <t>㈜피노키오</t>
  </si>
  <si>
    <t>피노키오 주식회사</t>
  </si>
  <si>
    <t>강원도 원주시 신림면 소야1길 72</t>
  </si>
  <si>
    <t>지하2,지상4층</t>
  </si>
  <si>
    <t>033-764-3007</t>
  </si>
  <si>
    <t>033.764.9972</t>
  </si>
  <si>
    <t>http://www.pinoforest.kr/index2.php</t>
  </si>
  <si>
    <t>동서울유스호스텔[휴지]</t>
  </si>
  <si>
    <t>동서울레스피아</t>
  </si>
  <si>
    <t>㈜동서울레스피아</t>
  </si>
  <si>
    <t>강원도 원주시 지정면 신평석화로 236</t>
  </si>
  <si>
    <t>033-732-3700</t>
  </si>
  <si>
    <t>033-732-4282</t>
  </si>
  <si>
    <t>http://www.drcamp.kr/main/index.html</t>
  </si>
  <si>
    <t>인제군</t>
  </si>
  <si>
    <t>인제읍</t>
  </si>
  <si>
    <t>인제읍청소년문화의집</t>
  </si>
  <si>
    <t>인제군수</t>
  </si>
  <si>
    <t>강원특별자치도 인제군 인제읍 비봉로29번길 17</t>
  </si>
  <si>
    <t>033-461-1318</t>
  </si>
  <si>
    <t>033-461-0924</t>
  </si>
  <si>
    <t>https://www.inje.go.kr/youthcenter</t>
  </si>
  <si>
    <t>남면</t>
  </si>
  <si>
    <t>남면청소년문화의집</t>
  </si>
  <si>
    <t>강원특별자치도 인제군 남면 신남로 48번길 14</t>
  </si>
  <si>
    <t>033-462-6669</t>
  </si>
  <si>
    <t>033-460-6668</t>
  </si>
  <si>
    <t>북면청소년문화의집</t>
  </si>
  <si>
    <t>강원특별자도 인제군 북면 원통리 금강로60-23</t>
  </si>
  <si>
    <t>033-462-1300</t>
  </si>
  <si>
    <t>033-462-2366</t>
  </si>
  <si>
    <t>기린면</t>
  </si>
  <si>
    <t>기린면청소년문화의집</t>
  </si>
  <si>
    <t>강원특별자치도 인제군 기린면 기린로 42번길 11</t>
  </si>
  <si>
    <t>033-462-2219</t>
  </si>
  <si>
    <t>033-463-2219</t>
  </si>
  <si>
    <t>인제미리내캠프</t>
  </si>
  <si>
    <t>강원특별자치도 인제군 북면 십이선녀탕길 165</t>
  </si>
  <si>
    <t xml:space="preserve">지상2층 </t>
  </si>
  <si>
    <t>033-463-3311</t>
  </si>
  <si>
    <t>033-463-1144</t>
  </si>
  <si>
    <t xml:space="preserve">www.mirinaecamp.com </t>
  </si>
  <si>
    <t>만해마을청소년수련원</t>
  </si>
  <si>
    <t>동국대학교 총장 윤재웅</t>
  </si>
  <si>
    <t>동국대학교</t>
  </si>
  <si>
    <t>강원특별자치도 인제군 북면 만해로 91</t>
  </si>
  <si>
    <t>지하1, 지상 4층</t>
  </si>
  <si>
    <t>033-460-0423</t>
  </si>
  <si>
    <t>033-462-2275</t>
  </si>
  <si>
    <t>https://manhae2003.dongguk.edu/</t>
  </si>
  <si>
    <t>정선군</t>
  </si>
  <si>
    <t>신동읍</t>
  </si>
  <si>
    <t>신동청소년·아동 장학복지센터</t>
  </si>
  <si>
    <t>정선군수</t>
  </si>
  <si>
    <t>강원도 정선군 신동읍 새골길 27</t>
  </si>
  <si>
    <t>033-378-1388</t>
  </si>
  <si>
    <t>033-378-1386</t>
  </si>
  <si>
    <t>http://www.sd.jsyouth.or.kr/</t>
  </si>
  <si>
    <t>사북읍</t>
  </si>
  <si>
    <t>사북청소년장학센터</t>
  </si>
  <si>
    <t>강원도 정선군 사북읍 사북6길 12-6</t>
  </si>
  <si>
    <t>033-592-1310</t>
  </si>
  <si>
    <t>033-592-1312</t>
  </si>
  <si>
    <t>http://sb.jsyouth.or.kr</t>
  </si>
  <si>
    <t>임계면</t>
  </si>
  <si>
    <t>임계청소년문화의집</t>
  </si>
  <si>
    <t>(사)한국BBS중앙연맹</t>
  </si>
  <si>
    <t>강원도 정선군 임계면 서동로 4578</t>
  </si>
  <si>
    <t>033-562-1312</t>
  </si>
  <si>
    <t>033-562-1353</t>
  </si>
  <si>
    <t>http://imgye.jsyouth.or.kr/</t>
  </si>
  <si>
    <t>정선읍</t>
  </si>
  <si>
    <t>정선군청소년수련관</t>
  </si>
  <si>
    <t>강원도 정선군 정선읍 용담샛길 15</t>
  </si>
  <si>
    <t>지하1, 지상3층</t>
  </si>
  <si>
    <t>033-562-1318</t>
  </si>
  <si>
    <t>033-563-5677</t>
  </si>
  <si>
    <t>http://jeongseon.jsyouth.or.kr</t>
  </si>
  <si>
    <t>철원군</t>
  </si>
  <si>
    <t>갈말읍</t>
  </si>
  <si>
    <t>철원군청소년회관</t>
  </si>
  <si>
    <t>철원군수</t>
  </si>
  <si>
    <t>강원특별자치도 철원군 갈말읍 명성로 139번길 52호</t>
  </si>
  <si>
    <t>033-450-4741</t>
  </si>
  <si>
    <t>033-456-5064</t>
  </si>
  <si>
    <t>youth.cwg.go.kr</t>
  </si>
  <si>
    <t>철원읍</t>
  </si>
  <si>
    <t>철원종합문화복지센터</t>
  </si>
  <si>
    <t>강원특별자치도 철원군 철원읍 금학로 330번길 12</t>
  </si>
  <si>
    <t>033-450-5327</t>
  </si>
  <si>
    <t>033-455-9195</t>
  </si>
  <si>
    <t>https://www.cwg.go.kr/welfare</t>
  </si>
  <si>
    <t>철원군병영체험수련원</t>
  </si>
  <si>
    <t>강원특별자치도 철원군 갈말읍 텃골4길 3-26</t>
  </si>
  <si>
    <t>지상3층, 옥탑1층</t>
  </si>
  <si>
    <t>033-452-8411</t>
  </si>
  <si>
    <t>033-452-8417</t>
  </si>
  <si>
    <t xml:space="preserve">bycamp.cwg.go.kr </t>
  </si>
  <si>
    <t>춘천시</t>
  </si>
  <si>
    <t>사농동</t>
  </si>
  <si>
    <t>강원특별자치도청소년수련원</t>
  </si>
  <si>
    <t>재단법인 춘천기독교청년회유지재단</t>
  </si>
  <si>
    <t>강원도 춘천시 신샘밭로 89</t>
  </si>
  <si>
    <t>033-255-6601</t>
  </si>
  <si>
    <t>033-255-3003</t>
  </si>
  <si>
    <t xml:space="preserve"> gytc.kr</t>
  </si>
  <si>
    <t>죽림동</t>
  </si>
  <si>
    <t>춘천시청소년문화의집</t>
  </si>
  <si>
    <t>춘천시장</t>
  </si>
  <si>
    <t>(사)동부디아코니아</t>
  </si>
  <si>
    <t>강원특별자치도 춘천시 중앙로 67번길 18(죽림동)</t>
  </si>
  <si>
    <t>033-251-1318</t>
  </si>
  <si>
    <t>033-251-1372</t>
  </si>
  <si>
    <t>https://youthzone.chuncheon.go.kr/</t>
  </si>
  <si>
    <t>효자동</t>
  </si>
  <si>
    <t>춘천시청소년수련관</t>
  </si>
  <si>
    <t>(재)춘천기독교청년회유지재단</t>
  </si>
  <si>
    <t>강원특별자치도 춘천시 백령로 119번길 26(효자동)</t>
  </si>
  <si>
    <t>033-244-1388</t>
  </si>
  <si>
    <t>033-244-1380</t>
  </si>
  <si>
    <t>남산면</t>
  </si>
  <si>
    <t>UOS강촌유스호스텔(구 강촌청소년수련원)</t>
  </si>
  <si>
    <t>서순탁</t>
  </si>
  <si>
    <t>(재)서울시립대학교발전기금</t>
  </si>
  <si>
    <t>강원특별자치도 춘천시 남산면 북한강변길 812-39</t>
  </si>
  <si>
    <t>033-262-3155</t>
  </si>
  <si>
    <t>033-262-3158</t>
  </si>
  <si>
    <t>rivervalley.uos.ac.kr</t>
  </si>
  <si>
    <t>기화유스호스텔</t>
  </si>
  <si>
    <t>임가영</t>
  </si>
  <si>
    <t>기화산업개발㈜</t>
  </si>
  <si>
    <t>강원특별자치도 춘천시 남산면 방하로 444</t>
  </si>
  <si>
    <t>033-263-1151</t>
  </si>
  <si>
    <t>033-263-9692</t>
  </si>
  <si>
    <t>태백시</t>
  </si>
  <si>
    <t>상장동</t>
  </si>
  <si>
    <t>상장청소년문화의집(황지청소년장학센터)</t>
  </si>
  <si>
    <t>태백시장</t>
  </si>
  <si>
    <t>태백시복지재단</t>
  </si>
  <si>
    <t>강원도 태백시 번영로224(황지동)</t>
  </si>
  <si>
    <t>033-554-1385</t>
  </si>
  <si>
    <t>033-554-1384</t>
  </si>
  <si>
    <t xml:space="preserve">www.tbyouth.kr </t>
  </si>
  <si>
    <t>철암동</t>
  </si>
  <si>
    <t>철암청소년문화의집(철암청소년장학센터)</t>
  </si>
  <si>
    <t>강원도 태백시 동태백로558(철암동)</t>
  </si>
  <si>
    <t>033-582-7500</t>
  </si>
  <si>
    <t>033-582-7503</t>
  </si>
  <si>
    <t>소도동</t>
  </si>
  <si>
    <t>태백시청소년수련관</t>
  </si>
  <si>
    <t>강원도 태백시 천제단길148(소도동)</t>
  </si>
  <si>
    <t>033-554-0411</t>
  </si>
  <si>
    <t>033-554-0413</t>
  </si>
  <si>
    <t xml:space="preserve">www.tbyouth.or.kr </t>
  </si>
  <si>
    <t>황지동</t>
  </si>
  <si>
    <t>O2 유스호스텔</t>
  </si>
  <si>
    <t>㈜오투리조트</t>
  </si>
  <si>
    <t>강원도 태백시 서학로 861(황지동)</t>
  </si>
  <si>
    <t>033-580-7315</t>
  </si>
  <si>
    <t>033-554-3604</t>
  </si>
  <si>
    <t>장성동</t>
  </si>
  <si>
    <t>한국안전체험관</t>
  </si>
  <si>
    <t>강원도 태백시 평화길 15(장성동)</t>
  </si>
  <si>
    <t>033-550-3102</t>
  </si>
  <si>
    <t>033-550-2964</t>
  </si>
  <si>
    <t>www.365safetown.com</t>
  </si>
  <si>
    <t>평창군</t>
  </si>
  <si>
    <t>진부면</t>
  </si>
  <si>
    <t>진부청소년문화의집</t>
  </si>
  <si>
    <t>평창군수</t>
  </si>
  <si>
    <t>강원도 평창군 진부면 석두산2길 7</t>
  </si>
  <si>
    <t>033-330-2052</t>
  </si>
  <si>
    <t>033-330-2054</t>
  </si>
  <si>
    <t>평창읍</t>
  </si>
  <si>
    <t>평창군청소년문화의집</t>
  </si>
  <si>
    <t>강원도 평창군 평창읍 평창중앙로 67(4층)</t>
  </si>
  <si>
    <t>지상4층중 4층</t>
  </si>
  <si>
    <t>033-333-1318</t>
  </si>
  <si>
    <t>033-333-1317</t>
  </si>
  <si>
    <t>용평면</t>
  </si>
  <si>
    <t>국립평창청소년수련원</t>
  </si>
  <si>
    <t>강원 평창군 용평면 새터마을길 108</t>
  </si>
  <si>
    <t>033-330-0800</t>
  </si>
  <si>
    <t>033-330-0905</t>
  </si>
  <si>
    <t>pnyc.kywa.or.kr/</t>
  </si>
  <si>
    <t>호렙오대산청소년수련원</t>
  </si>
  <si>
    <t>㈜호렙동산 평창점</t>
  </si>
  <si>
    <t>강원도 평창군 진부면 진고개로 351-6</t>
  </si>
  <si>
    <t>02-547-5577</t>
  </si>
  <si>
    <t>02-547-6549</t>
  </si>
  <si>
    <t>봉평면</t>
  </si>
  <si>
    <t>휘닉스빌유스호스텔</t>
  </si>
  <si>
    <t>휘닉스중앙평창㈜</t>
  </si>
  <si>
    <t>강원도 평창군 봉평면 태기로 174</t>
  </si>
  <si>
    <t>033-330-6858</t>
  </si>
  <si>
    <t>033-330-6508</t>
  </si>
  <si>
    <t>https://www.phoenixhnr.co.kr</t>
  </si>
  <si>
    <t>대관령면</t>
  </si>
  <si>
    <t>블리스힐스테이유스호스텔(용평리조트유스호스텔)</t>
  </si>
  <si>
    <t>㈜용평리조트</t>
  </si>
  <si>
    <t>용평리조트</t>
  </si>
  <si>
    <t>강원도 평창군 대관령면 올림픽로 715</t>
  </si>
  <si>
    <t>033-335-5757</t>
  </si>
  <si>
    <t>033-335-0160</t>
  </si>
  <si>
    <t>yongpyongin.modoo.at</t>
  </si>
  <si>
    <t>홍천군</t>
  </si>
  <si>
    <t>홍천읍</t>
  </si>
  <si>
    <t>홍천군청소년문화의집</t>
  </si>
  <si>
    <t>홍천군수</t>
  </si>
  <si>
    <t>강원도 홍천군 홍천읍 너브내길 123</t>
  </si>
  <si>
    <t>지상4층내</t>
  </si>
  <si>
    <t>033-430-2466</t>
  </si>
  <si>
    <t>033-430-2579</t>
  </si>
  <si>
    <t>홍천군청소년수련관</t>
  </si>
  <si>
    <t>강원도 홍천군 홍천읍 산림공원 2길 31</t>
  </si>
  <si>
    <t>033-433-4351</t>
  </si>
  <si>
    <t>033-433-1380</t>
  </si>
  <si>
    <t xml:space="preserve">hcyc.kr </t>
  </si>
  <si>
    <t>두촌면</t>
  </si>
  <si>
    <t>홍천군청소년수련원</t>
  </si>
  <si>
    <t>강원도 홍천군 두촌면 가리산길 10</t>
  </si>
  <si>
    <t>033-435-5950</t>
  </si>
  <si>
    <t>033-430-2467</t>
  </si>
  <si>
    <t>화천군</t>
  </si>
  <si>
    <t>사내면</t>
  </si>
  <si>
    <t>사내청소년문화의집</t>
  </si>
  <si>
    <t>화천군수</t>
  </si>
  <si>
    <t>강원도 화천군 사내면 문화마을1길 44</t>
  </si>
  <si>
    <t>033-440-4600</t>
  </si>
  <si>
    <t>033-442-1328</t>
  </si>
  <si>
    <t>https://www.ihc.go.kr/hcyc/index.do</t>
  </si>
  <si>
    <t>화천읍</t>
  </si>
  <si>
    <t>화천청소년수련관</t>
  </si>
  <si>
    <t>강원도 화천군 화천읍 산천어길 79</t>
  </si>
  <si>
    <t>033-440-4515~4519</t>
  </si>
  <si>
    <t>033-442-7951</t>
  </si>
  <si>
    <t>한국안전문화수련원</t>
  </si>
  <si>
    <t>윤호수</t>
  </si>
  <si>
    <t>㈜청호</t>
  </si>
  <si>
    <t>강원도 화천군 사내면 검단길 213-33</t>
  </si>
  <si>
    <t>033-441-2617</t>
  </si>
  <si>
    <t>033-441-5756</t>
  </si>
  <si>
    <t>화천청소년야영장</t>
  </si>
  <si>
    <t>강원도 화천군 상서면 다목2길 118-226</t>
  </si>
  <si>
    <t>033-440-4518</t>
  </si>
  <si>
    <t>033-441-0781</t>
  </si>
  <si>
    <t>횡성군</t>
  </si>
  <si>
    <t>횡성읍</t>
  </si>
  <si>
    <t>횡성군청소년수련관</t>
  </si>
  <si>
    <t>횡성군수</t>
  </si>
  <si>
    <t>강원도 횡성군 횡성읍 문예로 75</t>
  </si>
  <si>
    <t>033-340-5871</t>
  </si>
  <si>
    <t>033-340-2595</t>
  </si>
  <si>
    <t>둔내면</t>
  </si>
  <si>
    <t>신안종합유스호스텔</t>
  </si>
  <si>
    <t>신안종합리조트㈜</t>
  </si>
  <si>
    <t>신안종합리조트</t>
  </si>
  <si>
    <t>강원도 횡성군 둔내면 고원로 451</t>
  </si>
  <si>
    <t>033-340-3112</t>
  </si>
  <si>
    <t>033-340-3171</t>
  </si>
  <si>
    <t>www.wellihillipark.com</t>
  </si>
  <si>
    <t>서원면</t>
  </si>
  <si>
    <t>서원면청소년야영장</t>
  </si>
  <si>
    <t>채문희</t>
  </si>
  <si>
    <t>강원도 횡성군 서원면 압곡로 261-13</t>
  </si>
  <si>
    <t>033-344-2816</t>
  </si>
  <si>
    <t>n.a</t>
  </si>
  <si>
    <t>https://cafe.naver.com/yayoungjang</t>
  </si>
  <si>
    <t>횡성군청소년문화의집</t>
  </si>
  <si>
    <t>강원도 횡성군 둔내면 경강로 4708</t>
  </si>
  <si>
    <t>괴산군</t>
  </si>
  <si>
    <t>괴산읍</t>
  </si>
  <si>
    <t>괴산군청소년문화의집</t>
  </si>
  <si>
    <t>괴산군수</t>
  </si>
  <si>
    <t>충북 괴산군 괴산읍 임꺽정로 99-15</t>
  </si>
  <si>
    <t>043-830-3800</t>
  </si>
  <si>
    <t>043-833-8595</t>
  </si>
  <si>
    <t>www.goesan.go.kr/gsyc/index.do</t>
  </si>
  <si>
    <t>괴산군청소년수련원</t>
  </si>
  <si>
    <t>(사)대한청소년충효단연맹</t>
  </si>
  <si>
    <t>충북 괴산군 괴산읍 충민로 검승3길 41</t>
  </si>
  <si>
    <t>043-833-2900</t>
  </si>
  <si>
    <t>043-833-2903</t>
  </si>
  <si>
    <t>www.gsyouth.co.kr/</t>
  </si>
  <si>
    <t>청천면</t>
  </si>
  <si>
    <t>충청북도자연학습원</t>
  </si>
  <si>
    <t>충청북도지사</t>
  </si>
  <si>
    <t>충북 괴산군 청천면 화양로 1314-12</t>
  </si>
  <si>
    <t>043-833-8005</t>
  </si>
  <si>
    <t>043-833-8084</t>
  </si>
  <si>
    <t>www.campcb.co.kr</t>
  </si>
  <si>
    <t>청소년수련마을보람원</t>
  </si>
  <si>
    <t>백기훈</t>
  </si>
  <si>
    <t>(재)오운문화재단</t>
  </si>
  <si>
    <t>충북 괴산군 청천면 대야로 487</t>
  </si>
  <si>
    <t>043-830-2233</t>
  </si>
  <si>
    <t>0303-0943-2192</t>
  </si>
  <si>
    <t>www.boramwon.co.kr/</t>
  </si>
  <si>
    <t>로하스아카데미청소년수련원</t>
  </si>
  <si>
    <t>이우봉</t>
  </si>
  <si>
    <t>(주)로하스아카데미</t>
  </si>
  <si>
    <t>충북 괴산군 청천면 괴산로평단5길 128</t>
  </si>
  <si>
    <t>070-7090-2284</t>
  </si>
  <si>
    <t>02-6499-0200</t>
  </si>
  <si>
    <t>운교랜드 유스호스텔</t>
  </si>
  <si>
    <t>정혹훈</t>
  </si>
  <si>
    <t>개인</t>
  </si>
  <si>
    <t>충북 괴산군 청천면 송문로운교길 33-8</t>
  </si>
  <si>
    <t>043-833-8700</t>
  </si>
  <si>
    <t>WWW.운교랜드.kr</t>
  </si>
  <si>
    <t>단양군</t>
  </si>
  <si>
    <t>단양읍</t>
  </si>
  <si>
    <t>단양군청소년수련관</t>
  </si>
  <si>
    <t>단양군수</t>
  </si>
  <si>
    <t>충북 단양군 단양읍 삼봉로 187-18</t>
  </si>
  <si>
    <t>043-420-3077</t>
  </si>
  <si>
    <t>043-421-8372</t>
  </si>
  <si>
    <t>https://www.danyang.go.kr/olle0924</t>
  </si>
  <si>
    <t>단양청소년문화의집</t>
  </si>
  <si>
    <t>충북 단양군 단양읍 수변로 82</t>
  </si>
  <si>
    <t>043-420-6701</t>
  </si>
  <si>
    <t>043-422-8205</t>
  </si>
  <si>
    <t>https://www.danyang.go.kr/dyyouth/1388</t>
  </si>
  <si>
    <t>매포읍</t>
  </si>
  <si>
    <t>매포청소년문화의집</t>
  </si>
  <si>
    <t>충북 단양군 매포읍 평동4로 107</t>
  </si>
  <si>
    <t>지상2층, 옥탑</t>
  </si>
  <si>
    <t>043-420-6703</t>
  </si>
  <si>
    <t>043-422-2682</t>
  </si>
  <si>
    <t>https://www.danyang.go.kr/youth1318</t>
  </si>
  <si>
    <t>단성면</t>
  </si>
  <si>
    <t>전국금속노동조합 단양청소년수련원</t>
  </si>
  <si>
    <t>전국금속노동조합</t>
  </si>
  <si>
    <t>충북 단양군 단성면 대잠2길 29-46</t>
  </si>
  <si>
    <t>2700.41(건축면적)</t>
  </si>
  <si>
    <t>043-422-3340</t>
  </si>
  <si>
    <t>043-422-3360</t>
  </si>
  <si>
    <t>https://metalunionedu.org/</t>
  </si>
  <si>
    <t>보은군</t>
  </si>
  <si>
    <t>산외면</t>
  </si>
  <si>
    <t>속리산알프스청소년수련원</t>
  </si>
  <si>
    <t>㈜속리산알프스수련원</t>
  </si>
  <si>
    <t xml:space="preserve">㈜속리산알프스수련원 </t>
  </si>
  <si>
    <t>충북 보은군 산외면 산외로 596-28</t>
  </si>
  <si>
    <t>043-544-8800</t>
  </si>
  <si>
    <t>070-7614-3933</t>
  </si>
  <si>
    <t>www.songnisanalps.co.kr/</t>
  </si>
  <si>
    <t>태동유스호스텔</t>
  </si>
  <si>
    <t>http://mcbdamoa.coreit.co.kr</t>
  </si>
  <si>
    <t>보은읍</t>
  </si>
  <si>
    <t>보은군청소년센터</t>
  </si>
  <si>
    <t>보은군수</t>
  </si>
  <si>
    <t>충북 보은군 보은읍 군청길 114</t>
  </si>
  <si>
    <t>043-540-3625</t>
  </si>
  <si>
    <t>043-540-3809</t>
  </si>
  <si>
    <t>https://boeun.go.kr/youth</t>
  </si>
  <si>
    <t>영동군</t>
  </si>
  <si>
    <t>영동읍</t>
  </si>
  <si>
    <t>영동군청소년수련관</t>
  </si>
  <si>
    <t>영동군수</t>
  </si>
  <si>
    <t xml:space="preserve">충북 영동군 영동읍 성안길 8 </t>
  </si>
  <si>
    <t>043-740-3718</t>
  </si>
  <si>
    <t>043-742-1652</t>
  </si>
  <si>
    <t>https://www.yd21.go.kr/kr</t>
  </si>
  <si>
    <t>황간면</t>
  </si>
  <si>
    <t>황간청소년문화의집</t>
  </si>
  <si>
    <t>충북 영동군 황간면 황간동로 87</t>
  </si>
  <si>
    <t>043-744-6601</t>
  </si>
  <si>
    <t>043-744-6602</t>
  </si>
  <si>
    <t>양산면</t>
  </si>
  <si>
    <t>송호청소년수련원</t>
  </si>
  <si>
    <t>재단법인 선불교</t>
  </si>
  <si>
    <t>㈜송호연수원</t>
  </si>
  <si>
    <t>충북 영동군 양산면 송호로 103</t>
  </si>
  <si>
    <t>043-743-9081</t>
  </si>
  <si>
    <t>043-743-8505</t>
  </si>
  <si>
    <t>www.songhoyouth.kr/</t>
  </si>
  <si>
    <t>옥천군</t>
  </si>
  <si>
    <t>옥천읍</t>
  </si>
  <si>
    <t>옥천군청소년수련관</t>
  </si>
  <si>
    <t>옥천군수</t>
  </si>
  <si>
    <t>충북 옥천군 옥천읍 동부로 39</t>
  </si>
  <si>
    <t>043-730-4985</t>
  </si>
  <si>
    <t>043-731-1937</t>
  </si>
  <si>
    <t>https://www.oc.go.kr/youth/index.do</t>
  </si>
  <si>
    <t>이원면</t>
  </si>
  <si>
    <t>이원청소년문화의집</t>
  </si>
  <si>
    <t>충북 옥천군 이원면 신흥길 6</t>
  </si>
  <si>
    <t>043-730-3770</t>
  </si>
  <si>
    <t>043-733-8764</t>
  </si>
  <si>
    <t>청산면</t>
  </si>
  <si>
    <t>청산청소년문화의집</t>
  </si>
  <si>
    <t>충북 옥천군 청산면 지전길 36-12</t>
  </si>
  <si>
    <t>043-730-3774</t>
  </si>
  <si>
    <t>043-733-9843</t>
  </si>
  <si>
    <t>음성군</t>
  </si>
  <si>
    <t>생극면</t>
  </si>
  <si>
    <t>음성군청소년수련원</t>
  </si>
  <si>
    <t>음성군수</t>
  </si>
  <si>
    <t>한국해양소년단충북연맹</t>
  </si>
  <si>
    <t>충북 음성군 생극면 차생로 310-89</t>
  </si>
  <si>
    <t>043-877-7502</t>
  </si>
  <si>
    <t>043-877-7503</t>
  </si>
  <si>
    <t>https://www.eumseong.go.kr/yh/index.do</t>
  </si>
  <si>
    <t>음성읍</t>
  </si>
  <si>
    <t>음성청소년센터</t>
  </si>
  <si>
    <t>충북 음성군 음성읍 설성공원길 16(읍내리 366-17)</t>
  </si>
  <si>
    <t>043-871-4091~5</t>
  </si>
  <si>
    <t>043-871-1925</t>
  </si>
  <si>
    <t>https://www.eumseong.go.kr/esyouth/contents.do?key=730</t>
  </si>
  <si>
    <t>꽃동네사랑의연수원</t>
  </si>
  <si>
    <t>(재)예수의꽃동네유지재단</t>
  </si>
  <si>
    <t>충북 음성군 음성읍 꽃동네길 138 꽃동네사랑의연수원</t>
  </si>
  <si>
    <t>043-879-0406</t>
  </si>
  <si>
    <t>043-877-7748</t>
  </si>
  <si>
    <t>www.kkotlove.or.kr/</t>
  </si>
  <si>
    <t>금왕읍</t>
  </si>
  <si>
    <t>금왕청소년문화의집</t>
  </si>
  <si>
    <t>파라미타청소년연합회</t>
  </si>
  <si>
    <t>충북 음성군 금왕읍 대금로 1277번길 21</t>
  </si>
  <si>
    <t>2층</t>
  </si>
  <si>
    <t>2023.07.05</t>
  </si>
  <si>
    <t>043-883-9965</t>
  </si>
  <si>
    <t>043-882-9965</t>
  </si>
  <si>
    <t>www.gwyouth.or.kr/</t>
  </si>
  <si>
    <t>대소면</t>
  </si>
  <si>
    <t>대소청소년센터</t>
  </si>
  <si>
    <t>재단법인 대한성공회유지재단</t>
  </si>
  <si>
    <t>충북 음성군 대소면 대금로 392-4</t>
  </si>
  <si>
    <t>043-878-0711</t>
  </si>
  <si>
    <t>https://www.eumseong.go.kr/esyouth/contents.do?key=752</t>
  </si>
  <si>
    <t>제천시</t>
  </si>
  <si>
    <t>봉양읍</t>
  </si>
  <si>
    <t>박달재청소년수련원</t>
  </si>
  <si>
    <t>이종진</t>
  </si>
  <si>
    <t>충북 제천시 봉양읍 박달로 256-46</t>
  </si>
  <si>
    <t>043-652-9222</t>
  </si>
  <si>
    <t>043-652-4222</t>
  </si>
  <si>
    <t xml:space="preserve">www.parkdaljae.co.kr/ </t>
  </si>
  <si>
    <t>제천청소년문화의집</t>
  </si>
  <si>
    <t>제천시장</t>
  </si>
  <si>
    <t>(재)단촌청소년활동개발회</t>
  </si>
  <si>
    <t>충북 제천시 내제로 100 (서부동)</t>
  </si>
  <si>
    <t>043-652-0055</t>
  </si>
  <si>
    <t>043-652-9393</t>
  </si>
  <si>
    <t xml:space="preserve">www.jcyouth.kr/ </t>
  </si>
  <si>
    <t>송학면</t>
  </si>
  <si>
    <t>제천시청소년수련원</t>
  </si>
  <si>
    <t>충북 제천시 송학면 의림대로 730</t>
  </si>
  <si>
    <t>043-651-7474</t>
  </si>
  <si>
    <t>043-651-7475</t>
  </si>
  <si>
    <t xml:space="preserve">www.jchcamp.co.kr/ </t>
  </si>
  <si>
    <t>청풍면</t>
  </si>
  <si>
    <t>청풍유스호스텔</t>
  </si>
  <si>
    <t>동대문구청장</t>
  </si>
  <si>
    <t>동대문구시설관리공단</t>
  </si>
  <si>
    <t>충북 제천시 청풍면 청풍호로 2139</t>
  </si>
  <si>
    <t>043-652-9090</t>
  </si>
  <si>
    <t>043-652-3647</t>
  </si>
  <si>
    <t>chpungyh.co.kr/</t>
  </si>
  <si>
    <t>한수면</t>
  </si>
  <si>
    <t>월악산유스호스텔</t>
  </si>
  <si>
    <t>㈜대원티앤엠</t>
  </si>
  <si>
    <t>충북 제천시 한수면 월악로 1372</t>
  </si>
  <si>
    <t>043-651-7001</t>
  </si>
  <si>
    <t>043-651-7004</t>
  </si>
  <si>
    <t>www.woraksan.co.kr/</t>
  </si>
  <si>
    <t>(주)제천청소년수련원</t>
  </si>
  <si>
    <t xml:space="preserve">(주)제천청소년수련원 </t>
  </si>
  <si>
    <t>㈜제천청소년수련원</t>
  </si>
  <si>
    <t>충북 제천시 봉양읍 제원로 623</t>
  </si>
  <si>
    <t>043-653-5670</t>
  </si>
  <si>
    <t>043-653-5674</t>
  </si>
  <si>
    <t xml:space="preserve">www.jccy.kr/ </t>
  </si>
  <si>
    <t>장락동</t>
  </si>
  <si>
    <t>장락청소년문화의집</t>
  </si>
  <si>
    <t>충북 제천시 장락로1길 15-9</t>
  </si>
  <si>
    <t>043-642-8380</t>
  </si>
  <si>
    <t>043-641-6589</t>
  </si>
  <si>
    <t xml:space="preserve">www.jecheon.go.kr/youth </t>
  </si>
  <si>
    <t>동현동</t>
  </si>
  <si>
    <t>제천시청소년센터</t>
  </si>
  <si>
    <t>충북 제천시 의병대로 198</t>
  </si>
  <si>
    <t>043-642-8360</t>
  </si>
  <si>
    <t>충청북도학생수련원 제천분원 청풍마음쉼터</t>
  </si>
  <si>
    <t>충청북도교육감</t>
  </si>
  <si>
    <t>충북 제천시 청풍면 학현소야로 393</t>
  </si>
  <si>
    <t>070-4481-1914</t>
  </si>
  <si>
    <t>043-642-7784</t>
  </si>
  <si>
    <t>www.cbstc.go.kr/jecheon/main.php</t>
  </si>
  <si>
    <t>증평군</t>
  </si>
  <si>
    <t>증평읍</t>
  </si>
  <si>
    <t>증평청소년수련관</t>
  </si>
  <si>
    <t>증평군수</t>
  </si>
  <si>
    <t>증평복지재단</t>
  </si>
  <si>
    <t>충북 증평군 증평읍 보건복지로 64-2</t>
  </si>
  <si>
    <t>043-835-4191</t>
  </si>
  <si>
    <t>043-836-4195</t>
  </si>
  <si>
    <t>www.jpyouth.co.kr</t>
  </si>
  <si>
    <t>증평군청소년문화의집</t>
  </si>
  <si>
    <t>충북 증평군 증평읍 인삼로 97</t>
  </si>
  <si>
    <t>043-835-4878</t>
  </si>
  <si>
    <t>043-838-0535</t>
  </si>
  <si>
    <t>https://www.jp.go.kr/</t>
  </si>
  <si>
    <t>진천군</t>
  </si>
  <si>
    <t>초평면</t>
  </si>
  <si>
    <t>진천청소년수련원</t>
  </si>
  <si>
    <t>진천군수</t>
  </si>
  <si>
    <t>충북 진천군 초평면 평화로 403-132</t>
  </si>
  <si>
    <t>043-539-3814</t>
  </si>
  <si>
    <t>043-532-3591</t>
  </si>
  <si>
    <t>http://www.jincheon.go.kr/</t>
  </si>
  <si>
    <t>진천읍</t>
  </si>
  <si>
    <t>진천군청소년수련관</t>
  </si>
  <si>
    <t>충북 진천군 진천읍 포석길 37-10</t>
  </si>
  <si>
    <t>3.579.58</t>
  </si>
  <si>
    <t>043-539-7756</t>
  </si>
  <si>
    <t>043-537-0593</t>
  </si>
  <si>
    <t>http://www.jincheon.go.kr/youth/</t>
  </si>
  <si>
    <t>덕산읍</t>
  </si>
  <si>
    <t>덕산청소년문화의집</t>
  </si>
  <si>
    <t>충북 진천군 덕산읍 대하로 50</t>
  </si>
  <si>
    <t>043-539-7764</t>
  </si>
  <si>
    <t>043-537-0775</t>
  </si>
  <si>
    <t>청주시</t>
  </si>
  <si>
    <t>청주시청소년수련관</t>
  </si>
  <si>
    <t>청주시장</t>
  </si>
  <si>
    <t>사)유스투게더</t>
  </si>
  <si>
    <t>충북 청주시 흥덕구 직지대로351번길 56</t>
  </si>
  <si>
    <t>043-261-0700</t>
  </si>
  <si>
    <t>043-271-1070</t>
  </si>
  <si>
    <t>www.cjyouth.co.kr/</t>
  </si>
  <si>
    <t>수동</t>
  </si>
  <si>
    <t>청주시상당청소년문화의집</t>
  </si>
  <si>
    <t xml:space="preserve">청주시장 </t>
  </si>
  <si>
    <t>사)한국청소년연맹</t>
  </si>
  <si>
    <t>충북 청주시 상당구 수암로20번길 4-8</t>
  </si>
  <si>
    <t>043-258-7942</t>
  </si>
  <si>
    <t>043-258-7943</t>
  </si>
  <si>
    <t>www.cjyc.or.kr/</t>
  </si>
  <si>
    <t>내덕동</t>
  </si>
  <si>
    <t>청주시청원청소년문화의집</t>
  </si>
  <si>
    <t>사)파라미타청소년연합회</t>
  </si>
  <si>
    <t>충북 청주시 청원구 상당로 302번길 41</t>
  </si>
  <si>
    <t>043-224-4377</t>
  </si>
  <si>
    <t>043-224-4378</t>
  </si>
  <si>
    <t>www.cwcm.co.kr</t>
  </si>
  <si>
    <t>문의면</t>
  </si>
  <si>
    <t>청주시청소년수련원</t>
  </si>
  <si>
    <t>충북 청주시 상당구 문의면 대청호반로 751-56</t>
  </si>
  <si>
    <t>043-297-9009</t>
  </si>
  <si>
    <t>043-294-9009</t>
  </si>
  <si>
    <t xml:space="preserve">www.cjytc.or.kr/ </t>
  </si>
  <si>
    <t>성화동</t>
  </si>
  <si>
    <t>청주시서원청소년문화의집</t>
  </si>
  <si>
    <t>사)대한청소년충효단연맹</t>
  </si>
  <si>
    <t>충북 청주시 서원구 성봉로 116</t>
  </si>
  <si>
    <t>043-231-7970</t>
  </si>
  <si>
    <t>043-231-7973</t>
  </si>
  <si>
    <t>www.swyouth.net/</t>
  </si>
  <si>
    <t>충주시</t>
  </si>
  <si>
    <t>호암동</t>
  </si>
  <si>
    <t>충주시청소년수련원</t>
  </si>
  <si>
    <t xml:space="preserve">충주시장 </t>
  </si>
  <si>
    <t>충북 충주시 중원대로 3324</t>
  </si>
  <si>
    <t>043-856-7800</t>
  </si>
  <si>
    <t>043-856-7806</t>
  </si>
  <si>
    <t>www.cjyouth.net/</t>
  </si>
  <si>
    <t>살미면</t>
  </si>
  <si>
    <t>전원청소년수련원</t>
  </si>
  <si>
    <t>권기향</t>
  </si>
  <si>
    <t>와이제이엔터테인먼트</t>
  </si>
  <si>
    <t>충북 충주시 살미면 충주호수로 2544</t>
  </si>
  <si>
    <t>043-848-0656</t>
  </si>
  <si>
    <t>http://active.cbyouth.net</t>
  </si>
  <si>
    <t>산척면</t>
  </si>
  <si>
    <t>명돌캠프</t>
  </si>
  <si>
    <t>이동규</t>
  </si>
  <si>
    <t>명돌캠프 유한회사</t>
  </si>
  <si>
    <t>충북 충주시 산척면 삼여울길 20</t>
  </si>
  <si>
    <t>031-488-9240</t>
  </si>
  <si>
    <t>031-488-9132</t>
  </si>
  <si>
    <t>www.mdolcamp.com/</t>
  </si>
  <si>
    <t>중앙탑면</t>
  </si>
  <si>
    <t>서충주 청소년문화의집</t>
  </si>
  <si>
    <t>(사)청소년이 미래다</t>
  </si>
  <si>
    <t>충북 충주시 중앙탑면 기업도시로 237</t>
  </si>
  <si>
    <t>043-854-2370</t>
  </si>
  <si>
    <t>043-854-2375</t>
  </si>
  <si>
    <t>노은면</t>
  </si>
  <si>
    <t>아침편지청소년수련원</t>
  </si>
  <si>
    <t>고도원</t>
  </si>
  <si>
    <t>재단법인 아침편지 문화재단</t>
  </si>
  <si>
    <t>충북 충주시 노은면 우성1길 201-63</t>
  </si>
  <si>
    <t>043-853-4208</t>
  </si>
  <si>
    <t>연수동</t>
  </si>
  <si>
    <t>충주시 청소년문화의집 숨&amp;뜰</t>
  </si>
  <si>
    <t>(사)한국BBS충북연맹 충주시지회</t>
  </si>
  <si>
    <t>충북 충주시 금봉대로 544</t>
  </si>
  <si>
    <t>043-853-2021</t>
  </si>
  <si>
    <t>https://www.cjsumtteul.com/www/1</t>
  </si>
  <si>
    <t>계룡시</t>
  </si>
  <si>
    <t>신도안면</t>
  </si>
  <si>
    <t>청소년별마루센터</t>
  </si>
  <si>
    <t>계룡시장</t>
  </si>
  <si>
    <t>충남 계룡시 신도안면 송정길 174</t>
  </si>
  <si>
    <t>042-840-7925</t>
  </si>
  <si>
    <t>042-840-7926</t>
  </si>
  <si>
    <t>https://www.gryouth.or.kr/</t>
  </si>
  <si>
    <t>공주시</t>
  </si>
  <si>
    <t>반죽동</t>
  </si>
  <si>
    <t>공주시청소년문화센터</t>
  </si>
  <si>
    <t>공주시장(공주시청)</t>
  </si>
  <si>
    <t>사)한국BBS대전충남연맹공주지회</t>
  </si>
  <si>
    <t>충남 공주시 대통1길 57(반죽동)</t>
  </si>
  <si>
    <t>041-852-1318</t>
  </si>
  <si>
    <t>041-852-1319</t>
  </si>
  <si>
    <t>www.gj1318.or.kr/</t>
  </si>
  <si>
    <t>탄천면</t>
  </si>
  <si>
    <t>공주유스호스텔</t>
  </si>
  <si>
    <t>서경원</t>
  </si>
  <si>
    <t>충남 공주시 탄천면 삼거리1길 8-1</t>
  </si>
  <si>
    <t>041-852-1212</t>
  </si>
  <si>
    <t>041-852-1240</t>
  </si>
  <si>
    <t>www.gongjuyh.com/</t>
  </si>
  <si>
    <t>월송동</t>
  </si>
  <si>
    <t>공주시청소년꿈창작소</t>
  </si>
  <si>
    <t>충남 공주시 무령로 550-53</t>
  </si>
  <si>
    <t>지상2층, 지상3층</t>
  </si>
  <si>
    <t>041-881-0924</t>
  </si>
  <si>
    <t>041-881-0925</t>
  </si>
  <si>
    <t>www.gj0924.or.kr</t>
  </si>
  <si>
    <t>금산군</t>
  </si>
  <si>
    <t>금산읍</t>
  </si>
  <si>
    <t>금산청소년미래센터</t>
  </si>
  <si>
    <t>금산군수</t>
  </si>
  <si>
    <t>충남 금산군 금산읍 인삼로 17</t>
  </si>
  <si>
    <t>041-754-8853</t>
  </si>
  <si>
    <t>041-754-8854</t>
  </si>
  <si>
    <t>https://www.geumsan.go.kr/youth/</t>
  </si>
  <si>
    <t>금산다락원청소년수련관</t>
  </si>
  <si>
    <t>충남 금산군 금산읍 금산로 1559</t>
  </si>
  <si>
    <t>주건물(지하2층, 지상 3층)</t>
  </si>
  <si>
    <t>041-750-4167</t>
  </si>
  <si>
    <t>041-751-6523</t>
  </si>
  <si>
    <t>www.geumsan.go.kr/youthcenter/</t>
  </si>
  <si>
    <t>제원면</t>
  </si>
  <si>
    <t>금산청소년수련원</t>
  </si>
  <si>
    <t>강순기</t>
  </si>
  <si>
    <t>사)아름다운대한민국</t>
  </si>
  <si>
    <t>충남 금산군 제원면 용화로 343</t>
  </si>
  <si>
    <t>지하1,지상2층,지상4층  1개,지상 3층 2개,지상2층 2개</t>
  </si>
  <si>
    <t>041-754-6868</t>
  </si>
  <si>
    <t>041-754-6869</t>
  </si>
  <si>
    <t>www.gsytc.co.kr</t>
  </si>
  <si>
    <t>논산시</t>
  </si>
  <si>
    <t>지산동</t>
  </si>
  <si>
    <t>논산시청소년문화센터</t>
  </si>
  <si>
    <t>논산시장</t>
  </si>
  <si>
    <t>(재)논산시청소년청년재단</t>
  </si>
  <si>
    <t>충남 논산시 논산대로 424 (지산동)</t>
  </si>
  <si>
    <t>041-730-6021</t>
  </si>
  <si>
    <t>041-730-6030</t>
  </si>
  <si>
    <t>https://nsyouth.or.kr/</t>
  </si>
  <si>
    <t>상월면</t>
  </si>
  <si>
    <t>케이티앤지 상상마당 논산</t>
  </si>
  <si>
    <t>주식회사 케이티앤지(대표 백복인)</t>
  </si>
  <si>
    <t>컴퍼니에스에스주식회사</t>
  </si>
  <si>
    <t>충남 논산시 상월면 한천길 15-20</t>
  </si>
  <si>
    <t>지상1층, 지상2층</t>
  </si>
  <si>
    <t>041-734-6984</t>
  </si>
  <si>
    <t>041-734-6985</t>
  </si>
  <si>
    <t xml:space="preserve">sangsangmadang.com/main/NS </t>
  </si>
  <si>
    <t>당진시</t>
  </si>
  <si>
    <t>합덕읍</t>
  </si>
  <si>
    <t>합덕청소년문화의집</t>
  </si>
  <si>
    <t>당진시장</t>
  </si>
  <si>
    <t>(재)당진시청소년재단</t>
  </si>
  <si>
    <t>충남 당진시 합덕읍 문화길 39</t>
  </si>
  <si>
    <t>지하1층,지상2~3층</t>
  </si>
  <si>
    <t>041-363-0387</t>
  </si>
  <si>
    <t>041-363-0392</t>
  </si>
  <si>
    <t>https://www.djyouth.or.kr/hapdeokych/index.do</t>
  </si>
  <si>
    <t>당진읍</t>
  </si>
  <si>
    <t>당진청소년문화의집</t>
  </si>
  <si>
    <t>충남 당진시 무수동7길 142-26</t>
  </si>
  <si>
    <t>041-358-4685~91</t>
  </si>
  <si>
    <t>0507-489-4685</t>
  </si>
  <si>
    <t>https://www.djyouth.or.kr/dangjinych/index.do</t>
  </si>
  <si>
    <t>송악읍</t>
  </si>
  <si>
    <t>송악청소년문화의집</t>
  </si>
  <si>
    <t>충남 당진시 송악읍 틀모시로 842</t>
  </si>
  <si>
    <t>041-358-3980~6</t>
  </si>
  <si>
    <t>0507-489-3980</t>
  </si>
  <si>
    <t>www.djyouth.or.kr/songakych/index.do</t>
  </si>
  <si>
    <t>보령시</t>
  </si>
  <si>
    <t>보령시청소년문화의집</t>
  </si>
  <si>
    <t>보령시장</t>
  </si>
  <si>
    <t>(사)보령시한국청소년연합회</t>
  </si>
  <si>
    <t>충남 보령시 문화원길 9 (동대동)</t>
  </si>
  <si>
    <t>본관(지하1층, 지상3층)
별관(지상3층)</t>
  </si>
  <si>
    <t>041-936-2096</t>
  </si>
  <si>
    <t>041-936-2091</t>
  </si>
  <si>
    <t>www.dongmuya.or.kr</t>
  </si>
  <si>
    <t>성주면</t>
  </si>
  <si>
    <t>보령시청소년수련관</t>
  </si>
  <si>
    <t>보령시시설관리공단</t>
  </si>
  <si>
    <t>충남 보령시 성주면 성주산로 500</t>
  </si>
  <si>
    <t>041-931-2336</t>
  </si>
  <si>
    <t>041-934-2336</t>
  </si>
  <si>
    <t xml:space="preserve">byc.brsisul.or.kr/ </t>
  </si>
  <si>
    <t>부여군</t>
  </si>
  <si>
    <t>충화면</t>
  </si>
  <si>
    <t>부여군청소년수련원</t>
  </si>
  <si>
    <t>부여군수</t>
  </si>
  <si>
    <t>부여군시설관리공단</t>
  </si>
  <si>
    <t>충남 부여군 충화면 충신로 618</t>
  </si>
  <si>
    <t>041-835-5502</t>
  </si>
  <si>
    <t>041-835-5504</t>
  </si>
  <si>
    <t>www.buyeoyouth.or.kr/</t>
  </si>
  <si>
    <t>부여읍</t>
  </si>
  <si>
    <t>부여군유스호스텔</t>
  </si>
  <si>
    <t>충남 부여군 부여읍 의열로 43</t>
  </si>
  <si>
    <t>041-836-9756</t>
  </si>
  <si>
    <t>041-836-9578</t>
  </si>
  <si>
    <t>http://buyeoyh.or.kr</t>
  </si>
  <si>
    <t>부여군청소년문화의집</t>
  </si>
  <si>
    <t>041-832-5506</t>
  </si>
  <si>
    <t>x</t>
  </si>
  <si>
    <t>https://blog.naver.com/832-5506</t>
  </si>
  <si>
    <t>외산면</t>
  </si>
  <si>
    <t>자연부여유스호스텔</t>
  </si>
  <si>
    <t>신천호</t>
  </si>
  <si>
    <t>충남 부여군 외산면 반교동로 6</t>
  </si>
  <si>
    <t>041-835-7783</t>
  </si>
  <si>
    <t>031-272-0849</t>
  </si>
  <si>
    <t>http://www.jayeonbuyeoyh.com/</t>
  </si>
  <si>
    <t>서산시</t>
  </si>
  <si>
    <t>동문동</t>
  </si>
  <si>
    <t>서산시청소년수련관</t>
  </si>
  <si>
    <t>서산시장</t>
  </si>
  <si>
    <t>(재)서산시복지재단</t>
  </si>
  <si>
    <t>충남 서산시 서령로 136</t>
  </si>
  <si>
    <t>041-660-0200</t>
  </si>
  <si>
    <t>041-666-7102</t>
  </si>
  <si>
    <t>http://seosancwc.or.kr</t>
  </si>
  <si>
    <t>해미면</t>
  </si>
  <si>
    <t>해미청소년문화의집</t>
  </si>
  <si>
    <t>충남 서산시 해미면 성지3길 33</t>
  </si>
  <si>
    <t>041-688-7320</t>
  </si>
  <si>
    <t>041-688-7322</t>
  </si>
  <si>
    <t>www.s2youth.co.kr</t>
  </si>
  <si>
    <t>운산면</t>
  </si>
  <si>
    <t>서해안청소년수련원</t>
  </si>
  <si>
    <t>차군규</t>
  </si>
  <si>
    <t>(재)서해안청소년수련원</t>
  </si>
  <si>
    <t>충남 서산시 운산면 봉운로 951-125</t>
  </si>
  <si>
    <t>041-664-9481</t>
  </si>
  <si>
    <t>041-664-9486</t>
  </si>
  <si>
    <t xml:space="preserve">www.sycx.co.kr/ </t>
  </si>
  <si>
    <t>고북면</t>
  </si>
  <si>
    <t>서해천수만청소년수련원</t>
  </si>
  <si>
    <t>반채홍</t>
  </si>
  <si>
    <t>없음</t>
  </si>
  <si>
    <t>충남 서산시 고북4로 313</t>
  </si>
  <si>
    <t>041-669-9100</t>
  </si>
  <si>
    <t>041-664-4481</t>
  </si>
  <si>
    <t xml:space="preserve">www.seohaecamp.com/ </t>
  </si>
  <si>
    <t>Wake-up국제청소년센터</t>
  </si>
  <si>
    <t>충남 서산시 해미면 동문1길 42</t>
  </si>
  <si>
    <t>041-429-0520</t>
  </si>
  <si>
    <t>wake-upcenter.com</t>
  </si>
  <si>
    <t>성연면</t>
  </si>
  <si>
    <t>성연청소년문화의집</t>
  </si>
  <si>
    <t>충남 서산시 성연면 성연5로 92-33</t>
  </si>
  <si>
    <t>041-667-0924</t>
  </si>
  <si>
    <t>041-667-0925</t>
  </si>
  <si>
    <t>www.s3youth.or.kr</t>
  </si>
  <si>
    <t>서천군</t>
  </si>
  <si>
    <t>서천읍</t>
  </si>
  <si>
    <t>서천군청소년문화센터</t>
  </si>
  <si>
    <t>서천군수</t>
  </si>
  <si>
    <t>(재)서울기독교청년회</t>
  </si>
  <si>
    <t>충남 서천군 서천읍 군청로 16-2</t>
  </si>
  <si>
    <t>041-951-7942</t>
  </si>
  <si>
    <t>041-951-7955</t>
  </si>
  <si>
    <t>www.scdream.or.kr/</t>
  </si>
  <si>
    <t>장항읍</t>
  </si>
  <si>
    <t>서천유스호스텔</t>
  </si>
  <si>
    <t>황형식</t>
  </si>
  <si>
    <t>(사)서천청소년문화마당 봄</t>
  </si>
  <si>
    <t>충남 서천군 장항읍 장항산단로 34번길 72-40</t>
  </si>
  <si>
    <t>041-956-0003</t>
  </si>
  <si>
    <t>041-956-0888</t>
  </si>
  <si>
    <t>www.scyh.or.kr</t>
  </si>
  <si>
    <t>서천군청소년수련관</t>
  </si>
  <si>
    <t>충남 서천군 장항읍 장항산단로 34번길 60-23</t>
  </si>
  <si>
    <t>041)956-3003</t>
  </si>
  <si>
    <t>041)956-3004</t>
  </si>
  <si>
    <t xml:space="preserve">www.scvision.or.kr/ </t>
  </si>
  <si>
    <t>아산시</t>
  </si>
  <si>
    <t>권곡동</t>
  </si>
  <si>
    <t>아산시청소년교육문화센터</t>
  </si>
  <si>
    <t>아산시장</t>
  </si>
  <si>
    <t>(재)아산시청소년재단</t>
  </si>
  <si>
    <t>충남 아산시 시민로 500</t>
  </si>
  <si>
    <t xml:space="preserve">지하1층, 지상3층, 야외공연장  </t>
  </si>
  <si>
    <t>041-539-6600</t>
  </si>
  <si>
    <t>041-548-9135</t>
  </si>
  <si>
    <t>www.smartyouth.or.kr/</t>
  </si>
  <si>
    <t>배방읍</t>
  </si>
  <si>
    <t>아산시청소년문화의집</t>
  </si>
  <si>
    <t>충남 아산시 배방읍 연화로 29(장재리 1351)</t>
  </si>
  <si>
    <t>지하1증,지상3층</t>
  </si>
  <si>
    <t>041)531-5678</t>
  </si>
  <si>
    <t>041)531-5679</t>
  </si>
  <si>
    <t>http://www.asyouth.or.kr</t>
  </si>
  <si>
    <t>예산군</t>
  </si>
  <si>
    <t>예산읍</t>
  </si>
  <si>
    <t>예산군청소년수련관</t>
  </si>
  <si>
    <t>예산군수</t>
  </si>
  <si>
    <t>(재)예산군청소년복지재단</t>
  </si>
  <si>
    <t>충남 예산군 예산읍 벚꽃로 214-17</t>
  </si>
  <si>
    <t>지하1층 지상4층 1동</t>
  </si>
  <si>
    <t>041-331-8338</t>
  </si>
  <si>
    <t>041-331-8448</t>
  </si>
  <si>
    <t>yesanyouth.or.kr</t>
  </si>
  <si>
    <t>고덕면</t>
  </si>
  <si>
    <t>예산군청소년미래센터</t>
  </si>
  <si>
    <t>충남 예산군 고덕면 대천2길 5-4 1층</t>
  </si>
  <si>
    <t>041-338-4664</t>
  </si>
  <si>
    <t>041-338-4665</t>
  </si>
  <si>
    <t>천안시</t>
  </si>
  <si>
    <t>유량동</t>
  </si>
  <si>
    <t>태조산청소년수련관</t>
  </si>
  <si>
    <t>천안시장</t>
  </si>
  <si>
    <t>(재)천안시청소년재단</t>
  </si>
  <si>
    <t>충남 천안시 동남구 태조산길 261</t>
  </si>
  <si>
    <t>041-566-0179</t>
  </si>
  <si>
    <t>041-566-0180</t>
  </si>
  <si>
    <t>www.cayouth.or.kr/</t>
  </si>
  <si>
    <t>문화동</t>
  </si>
  <si>
    <t>천안시청소년수련관</t>
  </si>
  <si>
    <t>충남 천안시 동남구 중앙로 111</t>
  </si>
  <si>
    <t>041-900-0777</t>
  </si>
  <si>
    <t>041-900-0778</t>
  </si>
  <si>
    <t xml:space="preserve"> www.youth.ac/</t>
  </si>
  <si>
    <t>목천읍</t>
  </si>
  <si>
    <t>국립중앙청소년수련원</t>
  </si>
  <si>
    <t>충남 천안시 동남구 목천읍 서리4길 48</t>
  </si>
  <si>
    <t>041-620-7700</t>
  </si>
  <si>
    <t>041-620-7769</t>
  </si>
  <si>
    <t>nyc.kywa.or.kr/</t>
  </si>
  <si>
    <t>수신면</t>
  </si>
  <si>
    <t>천안상록유스호스텔</t>
  </si>
  <si>
    <t>공무원연금공단</t>
  </si>
  <si>
    <t>충남 천안시 동남구 수신로 576</t>
  </si>
  <si>
    <t>041-560-9201</t>
  </si>
  <si>
    <t>041-560-9209</t>
  </si>
  <si>
    <t>sangnokresort.co.kr</t>
  </si>
  <si>
    <t>성정동</t>
  </si>
  <si>
    <t>성정청소년문화의집</t>
  </si>
  <si>
    <t>충남 천안시 서북구 서부1길 57</t>
  </si>
  <si>
    <t>지하1충, 지상2층 중
(지상1,2사용)</t>
  </si>
  <si>
    <t>041-592-8001</t>
  </si>
  <si>
    <t>041-592-8003</t>
  </si>
  <si>
    <t>staryouth.co.kr</t>
  </si>
  <si>
    <t>청양군</t>
  </si>
  <si>
    <t>화성면</t>
  </si>
  <si>
    <t>군포시청소년수련원</t>
  </si>
  <si>
    <t>충남 청양군 화성면 정자골길 100-43</t>
  </si>
  <si>
    <t>031-390-1430</t>
  </si>
  <si>
    <t>041-943-0400</t>
  </si>
  <si>
    <t>www.gpcamp.or.kr/</t>
  </si>
  <si>
    <t>남양면</t>
  </si>
  <si>
    <t>청양숭의청소년수련원</t>
  </si>
  <si>
    <t>(재)기독교대한감리회유지재단</t>
  </si>
  <si>
    <t>충남 청양군 남양면 구용길 586</t>
  </si>
  <si>
    <t>041-942-9795</t>
  </si>
  <si>
    <t>041-942-9750</t>
  </si>
  <si>
    <t>www.cyse.co.kr/</t>
  </si>
  <si>
    <t>청양읍</t>
  </si>
  <si>
    <t>청양군청소년문화의집</t>
  </si>
  <si>
    <t>청양군수</t>
  </si>
  <si>
    <t>(재)청양군청소년재단</t>
  </si>
  <si>
    <t>충남 청양군 청양읍 문화예술로 187-1</t>
  </si>
  <si>
    <t>041-944-0924</t>
  </si>
  <si>
    <t>041-940-1098</t>
  </si>
  <si>
    <t>youth.청양군청소년재단.com</t>
  </si>
  <si>
    <t>대치면</t>
  </si>
  <si>
    <t>모두휴(休)청소년야영장</t>
  </si>
  <si>
    <t>영등포구청</t>
  </si>
  <si>
    <t>충남 청양군 대치면 청산로 690-13</t>
  </si>
  <si>
    <t>041-944-2101</t>
  </si>
  <si>
    <t>041-944-2102</t>
  </si>
  <si>
    <t>https://www.ydp.go.kr/reserve/</t>
  </si>
  <si>
    <t>태안군</t>
  </si>
  <si>
    <t>태안읍</t>
  </si>
  <si>
    <t>태안군청소년수련관</t>
  </si>
  <si>
    <t>태안군수</t>
  </si>
  <si>
    <t>충남 태안군 태안읍 백화로 199</t>
  </si>
  <si>
    <t>지하1층 지상2층 1동</t>
  </si>
  <si>
    <t>041-670-2490</t>
  </si>
  <si>
    <t>041-670-2492</t>
  </si>
  <si>
    <t xml:space="preserve">youth.taean.go.kr/ </t>
  </si>
  <si>
    <t>소원면</t>
  </si>
  <si>
    <t>홍익대학교만리포청소년수련원</t>
  </si>
  <si>
    <t>학교법인 홍익학원</t>
  </si>
  <si>
    <t>㈜아름다운대한민국</t>
  </si>
  <si>
    <t>충남 태안군 소원면 천리포1길 41</t>
  </si>
  <si>
    <t>지하1층 지상3층 1동</t>
  </si>
  <si>
    <t>041-671-7500</t>
  </si>
  <si>
    <t>041-671-7508</t>
  </si>
  <si>
    <t xml:space="preserve">www.malipo.co.kr/ </t>
  </si>
  <si>
    <t>청포대썬셋수련원</t>
  </si>
  <si>
    <t>함승우</t>
  </si>
  <si>
    <t>㈜케이와이엠</t>
  </si>
  <si>
    <t>충남 태안군 남면 안면대로 1308</t>
  </si>
  <si>
    <t>지하1층 지상3층 1동 지상1층 10동 지상2층 8동(부속건물 1동 포함)</t>
  </si>
  <si>
    <t>041-672-1009</t>
  </si>
  <si>
    <t>041-674-9394</t>
  </si>
  <si>
    <t>www.cpdyh.co.kr/</t>
  </si>
  <si>
    <t>한양여자대학교청소년수련원</t>
  </si>
  <si>
    <t>학교법인 한양학원</t>
  </si>
  <si>
    <t>(사)유스드림</t>
  </si>
  <si>
    <t>충남 태안군 소원면 천리포1길 122-40</t>
  </si>
  <si>
    <t>041-671-6510</t>
  </si>
  <si>
    <t>041-671-6519</t>
  </si>
  <si>
    <t>www.hywyouth.com/</t>
  </si>
  <si>
    <t>솔향기길청소년야영장</t>
  </si>
  <si>
    <t>이재규</t>
  </si>
  <si>
    <t>충남 태안군 이원면 내리 522-7</t>
  </si>
  <si>
    <t>사무실 1동, 대피실 4동, 화장실.샤워장.취사장(1동)</t>
  </si>
  <si>
    <t>041-675-7752</t>
  </si>
  <si>
    <t>http://www.xn--ok0bqa089ltwfjvjxnkyqa.com/</t>
  </si>
  <si>
    <t>홍성군</t>
  </si>
  <si>
    <t>광천읍</t>
  </si>
  <si>
    <t>홍성군수</t>
  </si>
  <si>
    <t>(재)홍성군청소년복지재단</t>
  </si>
  <si>
    <t>충남 홍성군 광천읍 홍남로 744번길 14</t>
  </si>
  <si>
    <t>745,74</t>
  </si>
  <si>
    <t>041-641-6426</t>
  </si>
  <si>
    <t>041-641-6425</t>
  </si>
  <si>
    <t>www.hsyfw.or.kr/</t>
  </si>
  <si>
    <t>홍성읍</t>
  </si>
  <si>
    <t>홍성군청소년수련관</t>
  </si>
  <si>
    <t>충남 홍성군 홍성읍 문화로33번길 33</t>
  </si>
  <si>
    <t>041-631-5900</t>
  </si>
  <si>
    <t>041-631-5903</t>
  </si>
  <si>
    <t>고창군</t>
  </si>
  <si>
    <t>고창읍</t>
  </si>
  <si>
    <t>고창군청소년수련관</t>
  </si>
  <si>
    <t>고창군수</t>
  </si>
  <si>
    <t>고창군청</t>
  </si>
  <si>
    <t>전북 고창군 운동장길 36</t>
  </si>
  <si>
    <t>063-560-2936</t>
  </si>
  <si>
    <t>063-560-2899</t>
  </si>
  <si>
    <t>http://www.gochang.go.kr/sisul/index.gochang?menuCd=DOM_000006202001002000</t>
  </si>
  <si>
    <t>성내면</t>
  </si>
  <si>
    <t>성내청소년문화의집</t>
  </si>
  <si>
    <t>전북 고창군 성내면 시기2길18</t>
  </si>
  <si>
    <t>063-560-8928</t>
  </si>
  <si>
    <t>https://www.facebook.com/성내청소년문화의집-고창-1234995769999419/</t>
  </si>
  <si>
    <t>아산면</t>
  </si>
  <si>
    <t>선운산유스호스텔</t>
  </si>
  <si>
    <t>전북 고창군 아산면 선운사로 158-36</t>
  </si>
  <si>
    <t>063-560-8952</t>
  </si>
  <si>
    <t>http://www.gochang.go.kr/tour/index.gochang?menuCd=DOM_000000404002002000</t>
  </si>
  <si>
    <t>흥덕면</t>
  </si>
  <si>
    <t>흥덕청소년문화의집</t>
  </si>
  <si>
    <t>전북 고창군 흥덕면 선운대로 3774</t>
  </si>
  <si>
    <t>문화복지관(2층)</t>
  </si>
  <si>
    <t>063-560-8927</t>
  </si>
  <si>
    <t>https://www.gochang.go.kr/index.gochang?menuCd=DOM_000000104002003005</t>
  </si>
  <si>
    <t>고창군람사르운곡습지유스호스텔</t>
  </si>
  <si>
    <t>전북 고창군 아산면 운곡로 91</t>
  </si>
  <si>
    <t>063-560-2717</t>
  </si>
  <si>
    <t>063-560-2449</t>
  </si>
  <si>
    <t>www.gochang.go.kr/tour/index.gochang</t>
  </si>
  <si>
    <t>군산시</t>
  </si>
  <si>
    <t>송풍동</t>
  </si>
  <si>
    <t>군산시청소년수련관</t>
  </si>
  <si>
    <t>군산시장</t>
  </si>
  <si>
    <t>(사)군산YMCA</t>
  </si>
  <si>
    <t>전북 군산시 청소년회관로75(송풍동)</t>
  </si>
  <si>
    <t>수련동:지하1,지상3
본관:지하1,지상7</t>
  </si>
  <si>
    <t>063-461-4166</t>
  </si>
  <si>
    <t>063-461-3888</t>
  </si>
  <si>
    <t xml:space="preserve">www.ycenter.co.kr/ </t>
  </si>
  <si>
    <t>조촌동</t>
  </si>
  <si>
    <t>군산시청소년문화의집</t>
  </si>
  <si>
    <t>전북 군산시 양안로 133(조촌동)</t>
  </si>
  <si>
    <t>063-451-7941</t>
  </si>
  <si>
    <t>063-451-7943</t>
  </si>
  <si>
    <t>www.ksyouth.net/</t>
  </si>
  <si>
    <t>김제시</t>
  </si>
  <si>
    <t>검산동</t>
  </si>
  <si>
    <t>김제시청소년종합센터</t>
  </si>
  <si>
    <t>김제시장</t>
  </si>
  <si>
    <t>전북 김제시 도작로 224-32</t>
  </si>
  <si>
    <t>063-540-4590</t>
  </si>
  <si>
    <t>063-540-4600</t>
  </si>
  <si>
    <t>금산면</t>
  </si>
  <si>
    <t>금산청소년센터</t>
  </si>
  <si>
    <t>전북 김제시 금산면 원평8길 36</t>
  </si>
  <si>
    <t>모악산유스호스텔</t>
  </si>
  <si>
    <t>인향 유한회사</t>
  </si>
  <si>
    <t>전북 김제시 금산면 모악로 460-20</t>
  </si>
  <si>
    <t>지상1층,지상3층</t>
  </si>
  <si>
    <t>모악유스호스텔</t>
  </si>
  <si>
    <t>최지승</t>
  </si>
  <si>
    <t>전북 김제시 금산면 금산리 172</t>
  </si>
  <si>
    <t>063-548-3001</t>
  </si>
  <si>
    <t>063-543-4401</t>
  </si>
  <si>
    <t>만경읍</t>
  </si>
  <si>
    <t>만경청소년센터</t>
  </si>
  <si>
    <t>전북 김제시 만경읍 만경로 776</t>
  </si>
  <si>
    <t>063-540-4152</t>
  </si>
  <si>
    <t>상생청소년수련원</t>
  </si>
  <si>
    <t>상생복지회</t>
  </si>
  <si>
    <t>전북 김제시 금산면 모악7길 14</t>
  </si>
  <si>
    <t>063-545-4651</t>
  </si>
  <si>
    <t>063-545-4652</t>
  </si>
  <si>
    <t xml:space="preserve"> www.sangsengyouth.co.kr/ </t>
  </si>
  <si>
    <t>부량면</t>
  </si>
  <si>
    <t>국립청소년바이오생명센터</t>
  </si>
  <si>
    <t>전북 김제시 부량면 벽골제로 421</t>
  </si>
  <si>
    <t>063-540-5600</t>
  </si>
  <si>
    <t>063-540-5603</t>
  </si>
  <si>
    <t>nybc.kywa.or.kr</t>
  </si>
  <si>
    <t>남원시</t>
  </si>
  <si>
    <t>쌍교동</t>
  </si>
  <si>
    <t>남원청소년문화의집</t>
  </si>
  <si>
    <t>남원시장</t>
  </si>
  <si>
    <t>전북 남원시 관서당길 35</t>
  </si>
  <si>
    <t>063-625-3312</t>
  </si>
  <si>
    <t>063-625-3230</t>
  </si>
  <si>
    <t>www.namwon3312.or.kr</t>
  </si>
  <si>
    <t>동충동</t>
  </si>
  <si>
    <t>남원시청소년수련관</t>
  </si>
  <si>
    <t>전북 남원시 충정로 72</t>
  </si>
  <si>
    <t>063-625-3363</t>
  </si>
  <si>
    <t>063-625-3364</t>
  </si>
  <si>
    <t>www.namwon0924.kr</t>
  </si>
  <si>
    <t>진실되게 하는 지리산유스캠프</t>
  </si>
  <si>
    <t>주)진실되게하는지리산유스캠프</t>
  </si>
  <si>
    <t>전북 남원시 주천면 웅치윗길 133-5</t>
  </si>
  <si>
    <t>063-630-1000</t>
  </si>
  <si>
    <t>063-630-1004</t>
  </si>
  <si>
    <t>www.jirisanyc.com</t>
  </si>
  <si>
    <t>무주군</t>
  </si>
  <si>
    <t>무주읍</t>
  </si>
  <si>
    <t>무주청소년수련관</t>
  </si>
  <si>
    <t>무주군수</t>
  </si>
  <si>
    <t>(재)쌍백합청소년육성회</t>
  </si>
  <si>
    <t>전북 무주군 무주읍 한풍루로 326-34</t>
  </si>
  <si>
    <t>지상3층,지하2층</t>
  </si>
  <si>
    <t>063-324-4240</t>
  </si>
  <si>
    <t>063-324-4244</t>
  </si>
  <si>
    <t>www.mujuyouth.net</t>
  </si>
  <si>
    <t>무주수련원</t>
  </si>
  <si>
    <t>이장호</t>
  </si>
  <si>
    <t xml:space="preserve">전북 무주군 무주읍 괴목로 1330 </t>
  </si>
  <si>
    <t>063-322-7751</t>
  </si>
  <si>
    <t>063-322-7753</t>
  </si>
  <si>
    <t>www.mujutown.co.kr</t>
  </si>
  <si>
    <t>안성면</t>
  </si>
  <si>
    <t>안성청소년문화의집</t>
  </si>
  <si>
    <t>전주기전대학산학협력단</t>
  </si>
  <si>
    <t>전북 무주군 안성면 단지봉길 13</t>
  </si>
  <si>
    <t>콘크리트 지하1층/지상1층</t>
  </si>
  <si>
    <t>063-323-1582</t>
  </si>
  <si>
    <t>063-323-1581</t>
  </si>
  <si>
    <t>https://band.us/@asyouth</t>
  </si>
  <si>
    <t>국립청소년인터넷드림마을</t>
  </si>
  <si>
    <t>한국청소년상담복지개발원</t>
  </si>
  <si>
    <t>전북 무주군 안성면 장무로 1559-11</t>
  </si>
  <si>
    <t>지상1,2층</t>
  </si>
  <si>
    <t>063-323-2280</t>
  </si>
  <si>
    <t>063-324-2293</t>
  </si>
  <si>
    <t>http://nyit.or.kr</t>
  </si>
  <si>
    <t>설천면</t>
  </si>
  <si>
    <t>무주덕유산유스타운</t>
  </si>
  <si>
    <t>㈜무주덕유산리조트</t>
  </si>
  <si>
    <t>전북 무주군 설천면 심곡리 1182-14</t>
  </si>
  <si>
    <t>063-320-6850</t>
  </si>
  <si>
    <t>063-320-6854</t>
  </si>
  <si>
    <t>www.mdysresort.com</t>
  </si>
  <si>
    <t>반딧불청소년야영장</t>
  </si>
  <si>
    <t>무주군청</t>
  </si>
  <si>
    <t>전북 무주군 설천면 무설로 1324</t>
  </si>
  <si>
    <t>063-320-5641</t>
  </si>
  <si>
    <t>063-324-5689</t>
  </si>
  <si>
    <t>http://tour.muju.go.kr/bandiland</t>
  </si>
  <si>
    <t>무주반딧불청소년수련원</t>
  </si>
  <si>
    <t>063-320-5640</t>
  </si>
  <si>
    <t>http://tour.muju.go.kr/training</t>
  </si>
  <si>
    <t>부안군</t>
  </si>
  <si>
    <t>변산면</t>
  </si>
  <si>
    <t>썬리치랜드청소년수련의집</t>
  </si>
  <si>
    <t>김순오</t>
  </si>
  <si>
    <t>전북 부안군 변산면 변산로 3523-62</t>
  </si>
  <si>
    <t>063-584-8030</t>
  </si>
  <si>
    <t>063-584-8032</t>
  </si>
  <si>
    <t>부안청소년수련원</t>
  </si>
  <si>
    <t>부안군수</t>
  </si>
  <si>
    <t>전북 부안군 변산면 참뽕로 434-26</t>
  </si>
  <si>
    <t>063-580-3122</t>
  </si>
  <si>
    <t>063-582-3134</t>
  </si>
  <si>
    <t xml:space="preserve">youth.buan.go.kr/ </t>
  </si>
  <si>
    <t>부안읍</t>
  </si>
  <si>
    <t>부안군청소년문화의집</t>
  </si>
  <si>
    <t>전북 부안군 석정로 208, 2층</t>
  </si>
  <si>
    <t>063-580-4749</t>
  </si>
  <si>
    <t>063-580-3194</t>
  </si>
  <si>
    <t>상서면</t>
  </si>
  <si>
    <t>부안군청림청소년수련시설</t>
  </si>
  <si>
    <t>전북 부안군 상서면 노적길 25</t>
  </si>
  <si>
    <t>063-580-3896</t>
  </si>
  <si>
    <t>063-583-3803</t>
  </si>
  <si>
    <t>star.buan.go.kr</t>
  </si>
  <si>
    <t>순창군</t>
  </si>
  <si>
    <t>순창읍</t>
  </si>
  <si>
    <t>순창군청소년수련관</t>
  </si>
  <si>
    <t>순창군수</t>
  </si>
  <si>
    <t>(재)한국기독교청년회전국연맹재단 전주YMCA</t>
  </si>
  <si>
    <t>전북 순창군 순창읍 장류로 192</t>
  </si>
  <si>
    <t xml:space="preserve">지상4층 </t>
  </si>
  <si>
    <t>063-652-1318</t>
  </si>
  <si>
    <t>070-8220-3503</t>
  </si>
  <si>
    <t>https://sunchang1318.modoo.at/</t>
  </si>
  <si>
    <t>순창청소년문화의집</t>
  </si>
  <si>
    <t>전북 순창군 순창읍 남계로 83</t>
  </si>
  <si>
    <t>063-652-2301</t>
  </si>
  <si>
    <t>063-652-2501</t>
  </si>
  <si>
    <t>복흥면</t>
  </si>
  <si>
    <t>복흥청소년문화의집</t>
  </si>
  <si>
    <t>전북 순창군 복흥면 정산로 24-11</t>
  </si>
  <si>
    <t>063-650-5695</t>
  </si>
  <si>
    <t>063-650-1269</t>
  </si>
  <si>
    <t>완주군</t>
  </si>
  <si>
    <t>상관면</t>
  </si>
  <si>
    <t>상관유스호스텔</t>
  </si>
  <si>
    <t>장혁진</t>
  </si>
  <si>
    <t>유한회사 공기</t>
  </si>
  <si>
    <t>전북 완주군 상관면 죽림편백길 118-38</t>
  </si>
  <si>
    <t>063-230-4512</t>
  </si>
  <si>
    <t>063-230-4510</t>
  </si>
  <si>
    <t>http://sanggwanresort.co.kr</t>
  </si>
  <si>
    <t>구이면</t>
  </si>
  <si>
    <t>청정테마센터</t>
  </si>
  <si>
    <t>이강동</t>
  </si>
  <si>
    <t>청정청소년수련원</t>
  </si>
  <si>
    <t>전북 완주군 구이면 장미로 31</t>
  </si>
  <si>
    <t>063-222-7754</t>
  </si>
  <si>
    <t>063-221-3014</t>
  </si>
  <si>
    <t>http://cjis.kr</t>
  </si>
  <si>
    <t>봉동읍</t>
  </si>
  <si>
    <t>완주군청소년문화의집</t>
  </si>
  <si>
    <t>완주군수</t>
  </si>
  <si>
    <t>사)봉상청소년육영회</t>
  </si>
  <si>
    <t>전북 완주군 봉동읍 하보상길 18-9</t>
  </si>
  <si>
    <t>063-262-7942</t>
  </si>
  <si>
    <t>063-262-7941</t>
  </si>
  <si>
    <t>www.wanju.go.kr(예정)</t>
  </si>
  <si>
    <t>삼례읍</t>
  </si>
  <si>
    <t>완주군청소년수련관</t>
  </si>
  <si>
    <t>전북 완주군 삼례읍 삼봉로 125</t>
  </si>
  <si>
    <t>063-290-3877</t>
  </si>
  <si>
    <t>063-290-2067</t>
  </si>
  <si>
    <t>소양면</t>
  </si>
  <si>
    <t>한국스카우트송광훈련장</t>
  </si>
  <si>
    <t>한국스카우트전북연맹</t>
  </si>
  <si>
    <t>2024년 휴지</t>
  </si>
  <si>
    <t>전북 완주군 소양면 신지송광로 879-32</t>
  </si>
  <si>
    <t>063-232-8100</t>
  </si>
  <si>
    <t>063-232-8106</t>
  </si>
  <si>
    <t>이서면</t>
  </si>
  <si>
    <t>이서청소년문화의집</t>
  </si>
  <si>
    <t>전북 완주군 이서면 반교로 30</t>
  </si>
  <si>
    <t>063-290-3229</t>
  </si>
  <si>
    <t>063-229-5500</t>
  </si>
  <si>
    <t>익산시</t>
  </si>
  <si>
    <t>모현동</t>
  </si>
  <si>
    <t>익산시청소년문화의집</t>
  </si>
  <si>
    <t>익산시장</t>
  </si>
  <si>
    <t>전북 익산시 배산로 189-10(모현동)</t>
  </si>
  <si>
    <t>2004-10-13</t>
  </si>
  <si>
    <t>063-857-6111</t>
  </si>
  <si>
    <t>063-858-3564</t>
  </si>
  <si>
    <t>www.iksanyouth.or.kr/</t>
  </si>
  <si>
    <t>어양동</t>
  </si>
  <si>
    <t>익산시청소년수련관</t>
  </si>
  <si>
    <t>(사)새벽이슬</t>
  </si>
  <si>
    <t>전북 익산시 동서로 476-21(어양동)</t>
  </si>
  <si>
    <t>063-838-1700</t>
  </si>
  <si>
    <t>063-838-1319</t>
  </si>
  <si>
    <t>www.isy1318.org/</t>
  </si>
  <si>
    <t>신동</t>
  </si>
  <si>
    <t>익산유스호스텔</t>
  </si>
  <si>
    <t>전북 익산시 마한로 11(신동)</t>
  </si>
  <si>
    <t>063-850-2000</t>
  </si>
  <si>
    <t>063-850-2020</t>
  </si>
  <si>
    <t>www.익산유스호스텔.com</t>
  </si>
  <si>
    <t>임실군</t>
  </si>
  <si>
    <t>관촌면</t>
  </si>
  <si>
    <t>임실군청소년수련원</t>
  </si>
  <si>
    <t>임실군수</t>
  </si>
  <si>
    <t>전북임실군 관촌면 사선2길 96-24</t>
  </si>
  <si>
    <t>지하1층, 지상 3층</t>
  </si>
  <si>
    <t>063-640-3011</t>
  </si>
  <si>
    <t>063-644-0386</t>
  </si>
  <si>
    <t>https://www.imsil.go.kr/ytc/index.imsil</t>
  </si>
  <si>
    <t>임실읍</t>
  </si>
  <si>
    <t>임실군청소년문화의집</t>
  </si>
  <si>
    <t>전북 임실군 임실읍 운수로 33-50</t>
  </si>
  <si>
    <t>지하1층, 지상 2층</t>
  </si>
  <si>
    <t>063-640-3022</t>
  </si>
  <si>
    <t>063-640-2128</t>
  </si>
  <si>
    <t>장수군</t>
  </si>
  <si>
    <t>장수읍</t>
  </si>
  <si>
    <t xml:space="preserve">장수군청소년문화의집 </t>
  </si>
  <si>
    <t>장수군수</t>
  </si>
  <si>
    <t>전북 장수군 장수읍 신천로 81</t>
  </si>
  <si>
    <t>063-351-7942</t>
  </si>
  <si>
    <t>063-351-4431</t>
  </si>
  <si>
    <t>천천면</t>
  </si>
  <si>
    <t>나봄유스호스텔</t>
  </si>
  <si>
    <t>서연주</t>
  </si>
  <si>
    <t>전북 장수군 천천면 승마1로 60-32</t>
  </si>
  <si>
    <t>지상4층,지하1층</t>
  </si>
  <si>
    <t>063-353-8880</t>
  </si>
  <si>
    <t>063-353-8881</t>
  </si>
  <si>
    <t>http://www.nabomresort.com/jangsu/</t>
  </si>
  <si>
    <t>장수유스호스텔</t>
  </si>
  <si>
    <t>서동해</t>
  </si>
  <si>
    <t>전북 장수군 천천면 승마1로 60-36</t>
  </si>
  <si>
    <t>전주시</t>
  </si>
  <si>
    <t>송천2동</t>
  </si>
  <si>
    <t>솔내청소년센터</t>
  </si>
  <si>
    <t xml:space="preserve">시립 </t>
  </si>
  <si>
    <t>전주시장</t>
  </si>
  <si>
    <t>전북 전주시 덕진구 동부대로 1079</t>
  </si>
  <si>
    <t>063-278-8588</t>
  </si>
  <si>
    <t>063-278-4388</t>
  </si>
  <si>
    <t>www.solnaeyouth.com/</t>
  </si>
  <si>
    <t>태평동</t>
  </si>
  <si>
    <t>전주청소년센터</t>
  </si>
  <si>
    <t>(사)탁틴내일</t>
  </si>
  <si>
    <t>전북 전주시 완산구 태진로 15-14</t>
  </si>
  <si>
    <t>063-273-5501</t>
  </si>
  <si>
    <t>063-273-5502</t>
  </si>
  <si>
    <t xml:space="preserve">www.jeonju1318.or.kr/ </t>
  </si>
  <si>
    <t>중화산동1동</t>
  </si>
  <si>
    <t>완산청소년센터</t>
  </si>
  <si>
    <t>전북 전주시 완산구 선너머2길 37</t>
  </si>
  <si>
    <t>지하1층,지상3층,별관2층</t>
  </si>
  <si>
    <t>063-226-5193</t>
  </si>
  <si>
    <t>063-226-4008</t>
  </si>
  <si>
    <t xml:space="preserve">www.youngi.or.kr/ </t>
  </si>
  <si>
    <t>효자4동</t>
  </si>
  <si>
    <t>효자청소년센터</t>
  </si>
  <si>
    <t>(사)아모스청소년회</t>
  </si>
  <si>
    <t>전북 전주시 완산구 우전2길 20</t>
  </si>
  <si>
    <t>063-236-7142</t>
  </si>
  <si>
    <t>063-236-7144</t>
  </si>
  <si>
    <t>www.gogo7142.or.kr/</t>
  </si>
  <si>
    <t>덕진동</t>
  </si>
  <si>
    <t>덕진청소년센터</t>
  </si>
  <si>
    <t>전북 전주시 덕진구 기린대로 541-11</t>
  </si>
  <si>
    <t>063-273-7997</t>
  </si>
  <si>
    <t>063-273-7996</t>
  </si>
  <si>
    <t>www.youthvision.kr/</t>
  </si>
  <si>
    <t>덕진구</t>
  </si>
  <si>
    <t>인후청소년센터</t>
  </si>
  <si>
    <t>(재)전주YMCA</t>
  </si>
  <si>
    <t>전북 덕진구 진버들5길 15-1</t>
  </si>
  <si>
    <t>063-281-6584</t>
  </si>
  <si>
    <t>063-281-2624</t>
  </si>
  <si>
    <t>www.jronju.go.kr/yaho</t>
  </si>
  <si>
    <t>정읍시</t>
  </si>
  <si>
    <t>시기동</t>
  </si>
  <si>
    <t>정읍시청소년수련관</t>
  </si>
  <si>
    <t>정읍시장</t>
  </si>
  <si>
    <t>정읍YMCA</t>
  </si>
  <si>
    <t>전북 정읍시 정읍사로 547</t>
  </si>
  <si>
    <t>063-533-7920</t>
  </si>
  <si>
    <t>063-533-7921</t>
  </si>
  <si>
    <t>http://www.juymca.or.kr</t>
  </si>
  <si>
    <t>신태인읍</t>
  </si>
  <si>
    <t>신태인청소년문화의집</t>
  </si>
  <si>
    <t>전북 정읍시 신태인중앙로 45</t>
  </si>
  <si>
    <t>063-535-0305</t>
  </si>
  <si>
    <t>063-535-0309</t>
  </si>
  <si>
    <t>내장상동</t>
  </si>
  <si>
    <t>정읍청소년문화체육관</t>
  </si>
  <si>
    <t>전북 정읍시 상동중앙로 16</t>
  </si>
  <si>
    <t>063-571-0161</t>
  </si>
  <si>
    <t>진안군</t>
  </si>
  <si>
    <t>마령면</t>
  </si>
  <si>
    <t>마이산청소년야영장</t>
  </si>
  <si>
    <t>진안군수</t>
  </si>
  <si>
    <t>파라미타청소년연합회 진안지회</t>
  </si>
  <si>
    <t>전북 진안군 마령면 마이산남로 278</t>
  </si>
  <si>
    <t>063-432-1800</t>
  </si>
  <si>
    <t>063-432-1877</t>
  </si>
  <si>
    <t>maisancamp.org</t>
  </si>
  <si>
    <t>백운면</t>
  </si>
  <si>
    <t>대광청소년수련원</t>
  </si>
  <si>
    <t>장홍기</t>
  </si>
  <si>
    <t>전북 진안군 백운면 백장로 147</t>
  </si>
  <si>
    <t>지상1층,지상 3층</t>
  </si>
  <si>
    <t>063-433-4370</t>
  </si>
  <si>
    <t xml:space="preserve">dktc.kr/ </t>
  </si>
  <si>
    <t>진안읍</t>
  </si>
  <si>
    <t>진안군청소년수련관</t>
  </si>
  <si>
    <t>진안YMCA</t>
  </si>
  <si>
    <t>전북 진안읍 진무로 1054-14</t>
  </si>
  <si>
    <t>063-433-0080</t>
  </si>
  <si>
    <t>063-433-0090</t>
  </si>
  <si>
    <t xml:space="preserve">youthjinan.kr/ </t>
  </si>
  <si>
    <t>강진군</t>
  </si>
  <si>
    <t>강진읍</t>
  </si>
  <si>
    <t>강진군청소년문화의집</t>
  </si>
  <si>
    <t>강진군수</t>
  </si>
  <si>
    <t>강진군청</t>
  </si>
  <si>
    <t>전남 강진군 강진읍 남문길 20</t>
  </si>
  <si>
    <t>061-430-5984</t>
  </si>
  <si>
    <t>061-430-5998</t>
  </si>
  <si>
    <t>http://www.gangjin.go.kr/youthcenter/</t>
  </si>
  <si>
    <t>강진군청소년수련관</t>
  </si>
  <si>
    <t>전남 강진군 강진읍 청렴길 1</t>
  </si>
  <si>
    <t>061-430-5970</t>
  </si>
  <si>
    <t>061-430-5988</t>
  </si>
  <si>
    <t>고흥군</t>
  </si>
  <si>
    <t>고흥읍</t>
  </si>
  <si>
    <t>고흥군청소년문화의집</t>
  </si>
  <si>
    <t>고흥군수</t>
  </si>
  <si>
    <t>전남 고흥군 고흥읍 고흥로 1793</t>
  </si>
  <si>
    <t>지상 4층</t>
  </si>
  <si>
    <t>061-830-6562</t>
  </si>
  <si>
    <t>061-830-5943</t>
  </si>
  <si>
    <t>http://cafe.daum.net/goheungyouth</t>
  </si>
  <si>
    <t>동일면</t>
  </si>
  <si>
    <t>국립청소년우주센터</t>
  </si>
  <si>
    <t>전남 고흥군 동일면 덕흥양쪽길 200</t>
  </si>
  <si>
    <t>지하1층,지상6층</t>
  </si>
  <si>
    <t>061-830-1500</t>
  </si>
  <si>
    <t>061-830-1600</t>
  </si>
  <si>
    <t>nysc.kywa.or.kr/</t>
  </si>
  <si>
    <t xml:space="preserve">두원면 </t>
  </si>
  <si>
    <t>고흥운대청소년야영장</t>
  </si>
  <si>
    <t>전남 고흥군 두원면 운대리 112-1번지</t>
  </si>
  <si>
    <t>061-830-5994</t>
  </si>
  <si>
    <t>061-830-5591</t>
  </si>
  <si>
    <t>https://buncheong.goheung.go.kr/site/camp</t>
  </si>
  <si>
    <t>곡성군</t>
  </si>
  <si>
    <t>곡성읍</t>
  </si>
  <si>
    <t>곡성청소년문화의집</t>
  </si>
  <si>
    <t>곡성군수</t>
  </si>
  <si>
    <t>(사)푸른청소년육성개발원</t>
  </si>
  <si>
    <t>전남 곡성군 곡성읍 곡성로 855</t>
  </si>
  <si>
    <t>061-363-9585</t>
  </si>
  <si>
    <t>061-363-9587</t>
  </si>
  <si>
    <t>www.gsyouth.kr</t>
  </si>
  <si>
    <t>고달면</t>
  </si>
  <si>
    <t>곡성군청소년야영장</t>
  </si>
  <si>
    <t>(사)심청골짝나라학교</t>
  </si>
  <si>
    <t>전남 곡성군 고달면 가정마을길 51</t>
  </si>
  <si>
    <t>061-362-4186</t>
  </si>
  <si>
    <t>061-363-4180</t>
  </si>
  <si>
    <t>gokseongcamp.com</t>
  </si>
  <si>
    <t>기차마을로즈유스호스텔</t>
  </si>
  <si>
    <t>전남 곡성군 오곡면 기차마을로 232</t>
  </si>
  <si>
    <t>061-362-1314</t>
  </si>
  <si>
    <t>061-362-1316</t>
  </si>
  <si>
    <t>옥과면</t>
  </si>
  <si>
    <t>옥과청소년문화의집</t>
  </si>
  <si>
    <t>전남 곡성군 옥과면 리문 5길 11-5</t>
  </si>
  <si>
    <t>지상 5층</t>
  </si>
  <si>
    <t>061-363-9583</t>
  </si>
  <si>
    <t>061-884-8583</t>
  </si>
  <si>
    <t>광양시</t>
  </si>
  <si>
    <t>중동</t>
  </si>
  <si>
    <t>광양시청소년문화센터</t>
  </si>
  <si>
    <t>광양시장</t>
  </si>
  <si>
    <t>광양기독교청년회(광양YMCA)</t>
  </si>
  <si>
    <t>전남 광양시 광장로 14(중동)</t>
  </si>
  <si>
    <t>지하2층
지상3층</t>
  </si>
  <si>
    <t>061-794-2230</t>
  </si>
  <si>
    <t>061-794-2235</t>
  </si>
  <si>
    <t>www.gwycc.or.kr</t>
  </si>
  <si>
    <t>광양읍</t>
  </si>
  <si>
    <t>광양시광양청소년문화의집</t>
  </si>
  <si>
    <t>전남 광양시 광양읍 인덕로 1055</t>
  </si>
  <si>
    <t>061-761-1335</t>
  </si>
  <si>
    <t>061-763-8307</t>
  </si>
  <si>
    <t>www.gwych.or.kr</t>
  </si>
  <si>
    <t>광양시 금호청소년문화의집</t>
  </si>
  <si>
    <t>전남 광양시 희망길 54(금호동)</t>
  </si>
  <si>
    <t>061-793-9300</t>
  </si>
  <si>
    <t>061-793-9302</t>
  </si>
  <si>
    <t>www.kumho.or.kr</t>
  </si>
  <si>
    <t>구례군</t>
  </si>
  <si>
    <t>구례읍</t>
  </si>
  <si>
    <t>구례군청소년문화의집</t>
  </si>
  <si>
    <t>구례군수</t>
  </si>
  <si>
    <t>(사)파라미타청소년연합회</t>
  </si>
  <si>
    <t>전남 구례군 구례읍 구례로 508</t>
  </si>
  <si>
    <t>061-781-6300</t>
  </si>
  <si>
    <t>061-781-6309</t>
  </si>
  <si>
    <t>http://www.gyyouth365.kr/</t>
  </si>
  <si>
    <t>산동면</t>
  </si>
  <si>
    <t>구례군청소년수련원</t>
  </si>
  <si>
    <t>(사)한국리더문화협회</t>
  </si>
  <si>
    <t>전남 구례군 산동면 관산구산길 14-9</t>
  </si>
  <si>
    <t>061-783-0207</t>
  </si>
  <si>
    <t>061-783-0208</t>
  </si>
  <si>
    <t>https://guryecamp.kr/</t>
  </si>
  <si>
    <t>나주시</t>
  </si>
  <si>
    <t>나주시청소년수련관(일송정)</t>
  </si>
  <si>
    <t>나주시장</t>
  </si>
  <si>
    <t>전남 나주시 죽림길 34</t>
  </si>
  <si>
    <t>061-331-1388</t>
  </si>
  <si>
    <t>061-334-1389</t>
  </si>
  <si>
    <t>www.njyouth.or.kr</t>
  </si>
  <si>
    <t>공산면</t>
  </si>
  <si>
    <t>나주영상테마파크문화센터 유스호스텔</t>
  </si>
  <si>
    <t>사단법인 청소년현장교육원</t>
  </si>
  <si>
    <t>전남 나주시 공산면 덕음로 446</t>
  </si>
  <si>
    <t>061-332-0010</t>
  </si>
  <si>
    <t>www.najuyouth.kr</t>
  </si>
  <si>
    <t>담양군</t>
  </si>
  <si>
    <t>금성면</t>
  </si>
  <si>
    <t>대나무골청소년야영장</t>
  </si>
  <si>
    <t>최상순</t>
  </si>
  <si>
    <t>대나무골야영장</t>
  </si>
  <si>
    <t>전남 담양군 금성면 비내동길 148(봉서리 산51-1)</t>
  </si>
  <si>
    <t>061-383-9291</t>
  </si>
  <si>
    <t>061-383-9922</t>
  </si>
  <si>
    <t>담양읍</t>
  </si>
  <si>
    <t>담양군청소년문화의집</t>
  </si>
  <si>
    <t>담양군수</t>
  </si>
  <si>
    <t>전남 담양군 담양읍 지침 6길 29</t>
  </si>
  <si>
    <t>061-383-1387</t>
  </si>
  <si>
    <t>061-381-7381</t>
  </si>
  <si>
    <t>http://www.damyang.go.kr/youth/index.damyang</t>
  </si>
  <si>
    <t>수북면</t>
  </si>
  <si>
    <t>담양군청소년수련원</t>
  </si>
  <si>
    <t>(재)국제청소년교육문화원</t>
  </si>
  <si>
    <t>전남 담양군 수북면 한수동로 977</t>
  </si>
  <si>
    <t>061-381-8361</t>
  </si>
  <si>
    <t>061-381-8362</t>
  </si>
  <si>
    <t>http://www.sacamp.co.kr/</t>
  </si>
  <si>
    <t>성암국제청소년수련원</t>
  </si>
  <si>
    <t>국제청소년교육문화원</t>
  </si>
  <si>
    <t>전남 담양군 수북면 한수동로 872</t>
  </si>
  <si>
    <t>061-382-7456</t>
  </si>
  <si>
    <t>061-381-1122</t>
  </si>
  <si>
    <t>목포시</t>
  </si>
  <si>
    <t>상동</t>
  </si>
  <si>
    <t>목포시청소년수련원</t>
  </si>
  <si>
    <t>목포시장</t>
  </si>
  <si>
    <t>목포YMCA</t>
  </si>
  <si>
    <t>전남 목포시 양을로397번길 68</t>
  </si>
  <si>
    <t>061-276-3640</t>
  </si>
  <si>
    <t>061-272-7531</t>
  </si>
  <si>
    <t xml:space="preserve">www.mokpocamp.or.kr/ </t>
  </si>
  <si>
    <t>무안동</t>
  </si>
  <si>
    <t>목포시청소년문화센터</t>
  </si>
  <si>
    <t>전남 목포시 영산로 66</t>
  </si>
  <si>
    <t>061-244-1318</t>
  </si>
  <si>
    <t>061-244-1317</t>
  </si>
  <si>
    <t>http://www.mokpo1318.org/</t>
  </si>
  <si>
    <t>부흥동</t>
  </si>
  <si>
    <t>목포시하당청소년문화센터</t>
  </si>
  <si>
    <t>전남 목포시 통일대로 119번길 25</t>
  </si>
  <si>
    <t>061-285-1318</t>
  </si>
  <si>
    <t>061-285-1317</t>
  </si>
  <si>
    <t>www.hadang1318.org</t>
  </si>
  <si>
    <t>무안군</t>
  </si>
  <si>
    <t>무안읍</t>
  </si>
  <si>
    <t>무안군청소년수련관</t>
  </si>
  <si>
    <t>무안군수</t>
  </si>
  <si>
    <t>전남 무안군 무안읍 면성1길 130</t>
  </si>
  <si>
    <t>지상 4,5층</t>
  </si>
  <si>
    <t>061-450-5532</t>
  </si>
  <si>
    <t>061-450-5122</t>
  </si>
  <si>
    <t>삼향읍</t>
  </si>
  <si>
    <t>남악청소년문화의집</t>
  </si>
  <si>
    <t>전남 무안군 삼향읍 남악4로 60번길 7</t>
  </si>
  <si>
    <t>보성군</t>
  </si>
  <si>
    <t>보성읍</t>
  </si>
  <si>
    <t>보성군청소년문화의집</t>
  </si>
  <si>
    <t>보성군수</t>
  </si>
  <si>
    <t>(사)보성문화재단</t>
  </si>
  <si>
    <t>전남 보성군 보성읍 송재로 281-7</t>
  </si>
  <si>
    <t>061-853-0924</t>
  </si>
  <si>
    <t>061-853-0925</t>
  </si>
  <si>
    <t>www.bsgyouth.com</t>
  </si>
  <si>
    <t>보성군청소년수련원</t>
  </si>
  <si>
    <t>(사)대한안전연합</t>
  </si>
  <si>
    <t>전남 보성군 보성읍 녹차로 771</t>
  </si>
  <si>
    <t>061-888-7020</t>
  </si>
  <si>
    <t>061-888-7021</t>
  </si>
  <si>
    <t>https://bscampgalaxy.co.kr</t>
  </si>
  <si>
    <t>순천시</t>
  </si>
  <si>
    <t>서면</t>
  </si>
  <si>
    <t>순천시청소년수련원</t>
  </si>
  <si>
    <t>순천시장</t>
  </si>
  <si>
    <t>전남 순천시 서면 청소년수련원길 167</t>
  </si>
  <si>
    <t>061-755-5522</t>
  </si>
  <si>
    <t>061-755-6298</t>
  </si>
  <si>
    <t>www.scyouth.or.kr/</t>
  </si>
  <si>
    <t>순천시청소년야영장</t>
  </si>
  <si>
    <t>061-755-6296</t>
  </si>
  <si>
    <t>순천유스호스텔</t>
  </si>
  <si>
    <t>행동</t>
  </si>
  <si>
    <t>순천청소년수련관</t>
  </si>
  <si>
    <t>전남 순천시 금곡길 20</t>
  </si>
  <si>
    <t>061-749-6605</t>
  </si>
  <si>
    <t>061-749-4709</t>
  </si>
  <si>
    <t>http://www.schc.go.kr/syc/</t>
  </si>
  <si>
    <t>해룡면</t>
  </si>
  <si>
    <t>순천만에코촌 유스호스텔</t>
  </si>
  <si>
    <t>전남 순천시 해룡면 생태배움길 123</t>
  </si>
  <si>
    <t>061-749-4816</t>
  </si>
  <si>
    <t>061-749-4035</t>
  </si>
  <si>
    <t>www.suncheon.go.kr/ecochon</t>
  </si>
  <si>
    <t>덕연동</t>
  </si>
  <si>
    <t>순천청소년문화의집</t>
  </si>
  <si>
    <t xml:space="preserve"> 전남 순천시 명말1길 57</t>
  </si>
  <si>
    <t>061-749-3970</t>
  </si>
  <si>
    <t>061-749-4659</t>
  </si>
  <si>
    <t>https://www.schc.go.kr/sc0924/main.do</t>
  </si>
  <si>
    <t>신안군</t>
  </si>
  <si>
    <t>임자면</t>
  </si>
  <si>
    <t>신안군청소년수련원</t>
  </si>
  <si>
    <t>신안군수</t>
  </si>
  <si>
    <t>전남 신안군 임자면 대광해수욕장길215</t>
  </si>
  <si>
    <t>061-246-9988</t>
  </si>
  <si>
    <t>061-246-9977</t>
  </si>
  <si>
    <t xml:space="preserve">www.koreatraining.net/ </t>
  </si>
  <si>
    <t>하의면</t>
  </si>
  <si>
    <t>하의유스호스텔</t>
  </si>
  <si>
    <t>전남 신안군 하의면 후광길 239-16</t>
  </si>
  <si>
    <t>061-246-8808</t>
  </si>
  <si>
    <t>061-275-8809</t>
  </si>
  <si>
    <t>https://tour.shinan.go.kr/home/tour/theme_tour/reservation/youthhostel</t>
  </si>
  <si>
    <t>여수시</t>
  </si>
  <si>
    <t>여수시청소년수련관</t>
  </si>
  <si>
    <t>여수시장</t>
  </si>
  <si>
    <t>여수YMCA</t>
  </si>
  <si>
    <t>전남 여수시 학동서4길 58-26 (학동)</t>
  </si>
  <si>
    <t>070-7733-1300</t>
  </si>
  <si>
    <t>061-682-3692</t>
  </si>
  <si>
    <t>www.y1318.kr/</t>
  </si>
  <si>
    <t>미평동</t>
  </si>
  <si>
    <t>여수시미평청소년문화의집</t>
  </si>
  <si>
    <t>(사)한국청소년육성회여수지구회</t>
  </si>
  <si>
    <t>전남 여수시 미평남1길 5 (미평동)</t>
  </si>
  <si>
    <t>061-651-3456</t>
  </si>
  <si>
    <t>061-651-3603</t>
  </si>
  <si>
    <t>www.ysycc.com</t>
  </si>
  <si>
    <t>문수동</t>
  </si>
  <si>
    <t>여수시여문청소년문화의집</t>
  </si>
  <si>
    <t>전남 여수시 문수8길 12</t>
  </si>
  <si>
    <t>061-651-1388</t>
  </si>
  <si>
    <t>061-651-1389</t>
  </si>
  <si>
    <t>http://ysyeomun.modoo.at</t>
  </si>
  <si>
    <t>돌산읍</t>
  </si>
  <si>
    <t>여수풀해드니유스호스텔</t>
  </si>
  <si>
    <t>이상민</t>
  </si>
  <si>
    <t>여수마리나유스호스텔</t>
  </si>
  <si>
    <t>전남 여수시 돌산읍 계동로 407-2</t>
  </si>
  <si>
    <t>061-644-9900</t>
  </si>
  <si>
    <t>www.pool-hadney.kr</t>
  </si>
  <si>
    <t>화양면</t>
  </si>
  <si>
    <t>청심국제해양청소년수련원</t>
  </si>
  <si>
    <t>유광현</t>
  </si>
  <si>
    <t>재단법인효정국제문화재단</t>
  </si>
  <si>
    <t>전남 여수시 화양면 장수로183-5</t>
  </si>
  <si>
    <t>061-686-7712</t>
  </si>
  <si>
    <t>070-7966-7712</t>
  </si>
  <si>
    <t>youth.cimc.co.kr/</t>
  </si>
  <si>
    <t>영광군</t>
  </si>
  <si>
    <t>영광읍</t>
  </si>
  <si>
    <t>영광군청소년문화센터</t>
  </si>
  <si>
    <t>영광군수</t>
  </si>
  <si>
    <t>전남 영광군 영광읍 중앙로3길 6-10</t>
  </si>
  <si>
    <t>061-353-1024</t>
  </si>
  <si>
    <t>061-353-1025</t>
  </si>
  <si>
    <t>영암군</t>
  </si>
  <si>
    <t>영암읍</t>
  </si>
  <si>
    <t>영암군청소년센터</t>
  </si>
  <si>
    <t>영암군수</t>
  </si>
  <si>
    <t>전남 영암군 영암읍 영암로 1511</t>
  </si>
  <si>
    <t>061-470-1000</t>
  </si>
  <si>
    <t>061-470-6790</t>
  </si>
  <si>
    <t xml:space="preserve">www.yayouth.or.kr/ </t>
  </si>
  <si>
    <t>삼호읍</t>
  </si>
  <si>
    <t>삼호청소년문화센터</t>
  </si>
  <si>
    <t>전남 영암군 삼호읍 방아제로 64-15</t>
  </si>
  <si>
    <t>061-462-1070</t>
  </si>
  <si>
    <t>061-462-1071</t>
  </si>
  <si>
    <t>www.shycc.or.kr/</t>
  </si>
  <si>
    <t>완도군</t>
  </si>
  <si>
    <t>군외면</t>
  </si>
  <si>
    <t>전라남도청소년수련원</t>
  </si>
  <si>
    <t>전라남도지사</t>
  </si>
  <si>
    <t>(재)전라남도청소년미래재단</t>
  </si>
  <si>
    <t>전남 완도군 군외면 삼두1길 215</t>
  </si>
  <si>
    <t>061-554-7675</t>
  </si>
  <si>
    <t>061-554-7679</t>
  </si>
  <si>
    <t xml:space="preserve"> www.jnyc.kr/</t>
  </si>
  <si>
    <t>완도청소년수련원</t>
  </si>
  <si>
    <t>전남 완도군 군외면 청해진북로 556-94</t>
  </si>
  <si>
    <t>061-553-3844</t>
  </si>
  <si>
    <t>061-554-1493</t>
  </si>
  <si>
    <t>www.wdytc.or.kr/</t>
  </si>
  <si>
    <t>완도읍</t>
  </si>
  <si>
    <t>완도청소년문화의집</t>
  </si>
  <si>
    <t>완도군수</t>
  </si>
  <si>
    <t>(사)꿈틀</t>
  </si>
  <si>
    <t>전남 완도군 완도읍 개포로159번길 41</t>
  </si>
  <si>
    <t>061-555-4200</t>
  </si>
  <si>
    <t>061-554-4201</t>
  </si>
  <si>
    <t>http://wdhari.or.kr/</t>
  </si>
  <si>
    <t>노화읍</t>
  </si>
  <si>
    <t>노화청소년문화의집</t>
  </si>
  <si>
    <t>전남 완도군 노화읍 노화로 824-19</t>
  </si>
  <si>
    <t>061-555-5951</t>
  </si>
  <si>
    <t>061-550-5289</t>
  </si>
  <si>
    <t>완도청소년야영장</t>
  </si>
  <si>
    <t>전남 완도군 군외면 청해진북로 556-110</t>
  </si>
  <si>
    <t>061-552-0866</t>
  </si>
  <si>
    <t>장성군</t>
  </si>
  <si>
    <t>황룡면</t>
  </si>
  <si>
    <t>장성군청소년야영장</t>
  </si>
  <si>
    <t>장성군수</t>
  </si>
  <si>
    <t>전남 장성군 황룡면 홍길동로 431</t>
  </si>
  <si>
    <t>061-394-7242</t>
  </si>
  <si>
    <t>061-390-7689</t>
  </si>
  <si>
    <t>www.jangseong.go.kr</t>
  </si>
  <si>
    <t>장성읍</t>
  </si>
  <si>
    <t>장성군청소년수련관</t>
  </si>
  <si>
    <t xml:space="preserve">(사)광주CYA </t>
  </si>
  <si>
    <t>전남 장성군 장성읍 문화로 110</t>
  </si>
  <si>
    <t>061-817-0924</t>
  </si>
  <si>
    <t>061-817-0925</t>
  </si>
  <si>
    <t>www.jsyouth.kr</t>
  </si>
  <si>
    <t>장흥군</t>
  </si>
  <si>
    <t>장흥읍</t>
  </si>
  <si>
    <t>장흥군청소년수련관</t>
  </si>
  <si>
    <t>장흥군수</t>
  </si>
  <si>
    <t>(사)한들청소년센터</t>
  </si>
  <si>
    <t>전남 장흥군 장흥읍 흥성로 37-23</t>
  </si>
  <si>
    <t>061-863-0250</t>
  </si>
  <si>
    <t>061-862-9788</t>
  </si>
  <si>
    <t>www.jhyouth.or.kr</t>
  </si>
  <si>
    <t>회진면</t>
  </si>
  <si>
    <t>장흥군회진청소년문화의집</t>
  </si>
  <si>
    <t>장흥군 회진면 회진선창길24</t>
  </si>
  <si>
    <t>061-867-0016</t>
  </si>
  <si>
    <t>061-867-5739</t>
  </si>
  <si>
    <t>관산읍</t>
  </si>
  <si>
    <t>장흥군관산청소년문화의집</t>
  </si>
  <si>
    <t>전남 장흥군 관산읍 죽교상하발로 10</t>
  </si>
  <si>
    <t>061-867-6780</t>
  </si>
  <si>
    <t>061-867-6781</t>
  </si>
  <si>
    <t>cdfe.daum.net/gsculrehouse</t>
  </si>
  <si>
    <t>대덕읍</t>
  </si>
  <si>
    <t>장흥군대덕청소년문화의집</t>
  </si>
  <si>
    <t>전남 장흥군 대덕읍 거정4길 22</t>
  </si>
  <si>
    <t>061-867-9802</t>
  </si>
  <si>
    <t>061-867-9803</t>
  </si>
  <si>
    <t>장흥군청소년수련원</t>
  </si>
  <si>
    <t>(사)꿈두레</t>
  </si>
  <si>
    <t>전남 장흥군 장흥읍 우드랜드길 200-60</t>
  </si>
  <si>
    <t>061-860-2300</t>
  </si>
  <si>
    <t>061-860-2310</t>
  </si>
  <si>
    <t>jy8602300.modoo.at</t>
  </si>
  <si>
    <t>진도군</t>
  </si>
  <si>
    <t>고군면</t>
  </si>
  <si>
    <t>진도군청소년수련원</t>
  </si>
  <si>
    <t>진도군수</t>
  </si>
  <si>
    <t>전남 진도군 고군면 신비의바닷길 74</t>
  </si>
  <si>
    <t>061-542-7744</t>
  </si>
  <si>
    <t>061-542-7704</t>
  </si>
  <si>
    <t xml:space="preserve">www.jindocamp.co.kr/ </t>
  </si>
  <si>
    <t>진도군유스호스텔</t>
  </si>
  <si>
    <t>전남 진도군 고군면 진도대로 1320</t>
  </si>
  <si>
    <t>061-543-5556</t>
  </si>
  <si>
    <t>061-543-5546</t>
  </si>
  <si>
    <t>www.jindohostel.com</t>
  </si>
  <si>
    <t>함평군</t>
  </si>
  <si>
    <t>함평읍</t>
  </si>
  <si>
    <t>함평군 청소년문화의집</t>
  </si>
  <si>
    <t>함평군수</t>
  </si>
  <si>
    <t>(재)광주가톨릭청소년회</t>
  </si>
  <si>
    <t>전남 함평군 함평읍 들샘길 36</t>
  </si>
  <si>
    <t>지상3층중3층에위치</t>
  </si>
  <si>
    <t>061-324-0416</t>
  </si>
  <si>
    <t>061-324-0418</t>
  </si>
  <si>
    <t>www.hpyouth1318.hanmail.net</t>
  </si>
  <si>
    <t>해남군</t>
  </si>
  <si>
    <t>문내면</t>
  </si>
  <si>
    <t>해남우수영유스호스텔</t>
  </si>
  <si>
    <t>해남군수</t>
  </si>
  <si>
    <t>전남 해남군 문내면 관광레저로 12-36</t>
  </si>
  <si>
    <t>061-533-2114</t>
  </si>
  <si>
    <t>http://usuyeong.com/</t>
  </si>
  <si>
    <t>삼산면</t>
  </si>
  <si>
    <t>해남유스호스텔</t>
  </si>
  <si>
    <t>(재)청소년경제교육재단 전라남도 해남군지부</t>
  </si>
  <si>
    <t>전남 해남군 삼산면 대흥사길 88-88</t>
  </si>
  <si>
    <t>061-533-0170</t>
  </si>
  <si>
    <t>061-532-1730</t>
  </si>
  <si>
    <t>http://www.hnhostel.co.kr</t>
  </si>
  <si>
    <t>황산면</t>
  </si>
  <si>
    <t>황산청소년문화의집</t>
  </si>
  <si>
    <t>(사)청소년공룡왕국</t>
  </si>
  <si>
    <t>전남 해남군 황산면 공룡박물관길 46</t>
  </si>
  <si>
    <t>061-535-1616</t>
  </si>
  <si>
    <t>061-536-0088</t>
  </si>
  <si>
    <t>https://www.hsyouth.kr/</t>
  </si>
  <si>
    <t>화순군</t>
  </si>
  <si>
    <t>화순읍</t>
  </si>
  <si>
    <t>화순군청소년문화의집</t>
  </si>
  <si>
    <t>화순군수</t>
  </si>
  <si>
    <t>전남 화순군 화순읍 광덕로 231, 화순군민종합문화센터 2층</t>
  </si>
  <si>
    <t>지상4층중 2층에 위치</t>
  </si>
  <si>
    <t>061-379-3524</t>
  </si>
  <si>
    <t>061-375-7264</t>
  </si>
  <si>
    <t>http://hwasunyouth.or.kr</t>
  </si>
  <si>
    <t>화순군청소년수련관</t>
  </si>
  <si>
    <t>전남 화순군 화순읍 쌍충로 118-4</t>
  </si>
  <si>
    <t>061-379-5175</t>
  </si>
  <si>
    <t>061-375-9216</t>
  </si>
  <si>
    <t>https://hwasunyouth.kr/</t>
  </si>
  <si>
    <t>경산시</t>
  </si>
  <si>
    <t>서상동</t>
  </si>
  <si>
    <t xml:space="preserve">경산시청소년문화의집     </t>
  </si>
  <si>
    <t>경산시장</t>
  </si>
  <si>
    <t>경북 경산시 서상길 75 문화원 3층</t>
  </si>
  <si>
    <t>지상4층 중 3층 사용</t>
  </si>
  <si>
    <t>053-816-1318</t>
  </si>
  <si>
    <t>053-816-1319</t>
  </si>
  <si>
    <t>http://gbgs.go.kr/special/young/page.do?mnu_uid=3876&amp;</t>
  </si>
  <si>
    <t>자인면</t>
  </si>
  <si>
    <t xml:space="preserve">계림청소년수련원           </t>
  </si>
  <si>
    <t>학교법인 제한학원(대구한의대학교)</t>
  </si>
  <si>
    <t>경북 경산시 자인면 일연로 311-6</t>
  </si>
  <si>
    <t>053-856-7278</t>
  </si>
  <si>
    <t>053-856-7279</t>
  </si>
  <si>
    <t>http://gryouth.com</t>
  </si>
  <si>
    <t>진량읍</t>
  </si>
  <si>
    <t>진량청소년문화의집</t>
  </si>
  <si>
    <t>경북 경산시 낙산길 23, 희망나눔센터 2층, 3층 일부</t>
  </si>
  <si>
    <t>지상4층 중 2층, 3층 일부 사용</t>
  </si>
  <si>
    <t>053-853-0507</t>
  </si>
  <si>
    <t>053-853-0509</t>
  </si>
  <si>
    <t>경주시</t>
  </si>
  <si>
    <t>황성동</t>
  </si>
  <si>
    <t>경주청소년수련관</t>
  </si>
  <si>
    <t>경주시장</t>
  </si>
  <si>
    <t>경북 경주시 알천북로 131(황성동)</t>
  </si>
  <si>
    <t>054-779-6173</t>
  </si>
  <si>
    <t>054-760-7543</t>
  </si>
  <si>
    <t>www.gjyouth.or.kr/</t>
  </si>
  <si>
    <t>산내면</t>
  </si>
  <si>
    <t>국민청소년수련원</t>
  </si>
  <si>
    <t>㈜국민관광농원</t>
  </si>
  <si>
    <t>경북 경주시 산내면 문복로 1280-7</t>
  </si>
  <si>
    <t>054-751-4300</t>
  </si>
  <si>
    <t>054-751-8055</t>
  </si>
  <si>
    <t>www.gukmin.or.kr/</t>
  </si>
  <si>
    <t>㈜오케이그린청소년수련원</t>
  </si>
  <si>
    <t>(재)대한불교진각종유지재단</t>
  </si>
  <si>
    <t>경북 경주시 산내면 수의길 601</t>
  </si>
  <si>
    <t>054-751-8118</t>
  </si>
  <si>
    <t>054-751-9663</t>
  </si>
  <si>
    <t xml:space="preserve">www.okgreen.net/ </t>
  </si>
  <si>
    <t xml:space="preserve">경주시산내유스호스텔     </t>
  </si>
  <si>
    <t>청소년서라벌문화원</t>
  </si>
  <si>
    <t>경북 경주시 산내면 원두길 82</t>
  </si>
  <si>
    <t>054-753-1300</t>
  </si>
  <si>
    <t>054-751-8415</t>
  </si>
  <si>
    <t>진현동</t>
  </si>
  <si>
    <t xml:space="preserve">서울유스호스텔              </t>
  </si>
  <si>
    <t>박정오</t>
  </si>
  <si>
    <t>경북 경주시 불국신택지4길 34(진현동)</t>
  </si>
  <si>
    <t>054-746-6000</t>
  </si>
  <si>
    <t>054-746-6650</t>
  </si>
  <si>
    <t xml:space="preserve">http://www.gjseoul.co.kr              </t>
  </si>
  <si>
    <t xml:space="preserve">신라유스호스텔              </t>
  </si>
  <si>
    <t>이종찬</t>
  </si>
  <si>
    <t>경북 경주시 영불로 256(진현동)</t>
  </si>
  <si>
    <t>054-748-7333</t>
  </si>
  <si>
    <t>054-748-7334</t>
  </si>
  <si>
    <t xml:space="preserve">http://shilayh.com/             </t>
  </si>
  <si>
    <t xml:space="preserve">한국관유스호스텔           </t>
  </si>
  <si>
    <t>김정자</t>
  </si>
  <si>
    <t>경북 경주시 불국신택지5길 14(진현동)</t>
  </si>
  <si>
    <t>054-746-4761</t>
  </si>
  <si>
    <t>054-745-0001</t>
  </si>
  <si>
    <t xml:space="preserve">동궁유스호스텔             </t>
  </si>
  <si>
    <t>(주)젬스톤F&amp;B</t>
  </si>
  <si>
    <t>경북 경주시 진현로2길 21(진현동)</t>
  </si>
  <si>
    <t>054-748-7400</t>
  </si>
  <si>
    <t xml:space="preserve">http://www.donggungyh.co.kr/            </t>
  </si>
  <si>
    <t xml:space="preserve">계림유스호스텔             </t>
  </si>
  <si>
    <t>강경석</t>
  </si>
  <si>
    <t>경북 경주시 불국신택지1길31(진현동)</t>
  </si>
  <si>
    <t>054-775-2117</t>
  </si>
  <si>
    <t>054-775-2118</t>
  </si>
  <si>
    <t xml:space="preserve">www.gyerimstel.co.kr             </t>
  </si>
  <si>
    <t xml:space="preserve">리멤버유스호스텔                  </t>
  </si>
  <si>
    <t>김성기</t>
  </si>
  <si>
    <t>경북 경주시 영불로 209(진현동)</t>
  </si>
  <si>
    <t>054-776-7031</t>
  </si>
  <si>
    <t>054-746-6864</t>
  </si>
  <si>
    <t xml:space="preserve">http://www.eremember.co.kr                 </t>
  </si>
  <si>
    <t xml:space="preserve">황룡유스호스텔              </t>
  </si>
  <si>
    <t>㈜루안</t>
  </si>
  <si>
    <t>경북 경주시 불국신택지 6길 9</t>
  </si>
  <si>
    <t>054-772-6666</t>
  </si>
  <si>
    <t>054-772-4664</t>
  </si>
  <si>
    <t>석장동</t>
  </si>
  <si>
    <t>화랑마을</t>
  </si>
  <si>
    <t>경북 경주시 석현로 123</t>
  </si>
  <si>
    <t>주건축 3동, 부속건축 20동</t>
  </si>
  <si>
    <t>054-760-2432</t>
  </si>
  <si>
    <t>054-760-7583</t>
  </si>
  <si>
    <t>http://www.gyeongju.go.kr/hwarang/index.do</t>
  </si>
  <si>
    <t>안강읍</t>
  </si>
  <si>
    <t>안강청소년문화의집</t>
  </si>
  <si>
    <t>경북 경주시 안강읍 안현로 1476</t>
  </si>
  <si>
    <t>054-760-2590</t>
  </si>
  <si>
    <t>https://youth.gyeongju.go.kr</t>
  </si>
  <si>
    <t>고령군</t>
  </si>
  <si>
    <t>대가야읍</t>
  </si>
  <si>
    <t>고령군청소년문화의집</t>
  </si>
  <si>
    <t>고령군수</t>
  </si>
  <si>
    <t>경북 고령군 대가야읍 왕릉로 30</t>
  </si>
  <si>
    <t>054-950-6163</t>
  </si>
  <si>
    <t>054-950-6349</t>
  </si>
  <si>
    <t>http://www.goryeong.go.kr/art/contents.do?IDX=112</t>
  </si>
  <si>
    <t>구미시</t>
  </si>
  <si>
    <t>상모사곡동</t>
  </si>
  <si>
    <t xml:space="preserve">구미시청소년문화의집     </t>
  </si>
  <si>
    <t>구미시장</t>
  </si>
  <si>
    <t>경북 구미시 상사서로4길 10(상모동)</t>
  </si>
  <si>
    <t>054-458-2010</t>
  </si>
  <si>
    <t>054-465-2050</t>
  </si>
  <si>
    <t xml:space="preserve">www.gumiyouth.org </t>
  </si>
  <si>
    <t>선산읍</t>
  </si>
  <si>
    <t xml:space="preserve">구미시선산청소년수련관   </t>
  </si>
  <si>
    <t>경북 구미시 선산읍 단계동길  270</t>
  </si>
  <si>
    <t>054-482-0924</t>
  </si>
  <si>
    <t>054-481-6358</t>
  </si>
  <si>
    <t xml:space="preserve">www.gumissyouth.org </t>
  </si>
  <si>
    <t>산동읍</t>
  </si>
  <si>
    <t>구미시강동청소년문화의집</t>
  </si>
  <si>
    <t>경북 구미시 산동읍 신당4로1길 56</t>
  </si>
  <si>
    <t>054-475-0924</t>
  </si>
  <si>
    <t>054-475-0925</t>
  </si>
  <si>
    <t>https://kangdongyouth.kr</t>
  </si>
  <si>
    <t>김천시</t>
  </si>
  <si>
    <t>삼락동</t>
  </si>
  <si>
    <t xml:space="preserve">김천시청소년문화의집     </t>
  </si>
  <si>
    <t>김천시장</t>
  </si>
  <si>
    <t>김천시 문당길 142</t>
  </si>
  <si>
    <t>2021.12.29</t>
  </si>
  <si>
    <t>054-421-2995</t>
  </si>
  <si>
    <t>054-435-6199</t>
  </si>
  <si>
    <t>http://www.gc.go.kr/gcyouth/t_culture/main.tc</t>
  </si>
  <si>
    <t>아포읍</t>
  </si>
  <si>
    <t xml:space="preserve">경상북도청소년수련원     </t>
  </si>
  <si>
    <t>경상북도지사</t>
  </si>
  <si>
    <t>재단법인경북행복재단</t>
  </si>
  <si>
    <t>경북 김천시 아포읍 대성지1길593-43</t>
  </si>
  <si>
    <t>054-436-0184</t>
  </si>
  <si>
    <t>054-436-0189</t>
  </si>
  <si>
    <t>http://www.gbyc.co.kr</t>
  </si>
  <si>
    <t>문경시</t>
  </si>
  <si>
    <t>모전동</t>
  </si>
  <si>
    <t>문경청소년문화의집</t>
  </si>
  <si>
    <t>문경시장</t>
  </si>
  <si>
    <t>경북 문경시 신흥로 11(모전동)</t>
  </si>
  <si>
    <t>054-550-6655</t>
  </si>
  <si>
    <t>054-550-6659</t>
  </si>
  <si>
    <t>http://www.gbmg.go.kr</t>
  </si>
  <si>
    <t>불정동</t>
  </si>
  <si>
    <t>문경청소년수련관</t>
  </si>
  <si>
    <t>문경관광공사</t>
  </si>
  <si>
    <t>경북 문경시 휴양림길 180(불정동)</t>
  </si>
  <si>
    <t>054-556-7733</t>
  </si>
  <si>
    <t>054-553-4200</t>
  </si>
  <si>
    <t>https://www.mgtpcr.or.kr</t>
  </si>
  <si>
    <t>호계면</t>
  </si>
  <si>
    <t>성보촌유스호스텔</t>
  </si>
  <si>
    <t>㈜성보문화재단 김병진</t>
  </si>
  <si>
    <t>㈜성보문화재단</t>
  </si>
  <si>
    <t>경북 문경시 상무로 377</t>
  </si>
  <si>
    <t>054-555-0001</t>
  </si>
  <si>
    <t>054-613-5888</t>
  </si>
  <si>
    <t>http://www.sungbo.net/</t>
  </si>
  <si>
    <t>봉화군</t>
  </si>
  <si>
    <t>봉화읍</t>
  </si>
  <si>
    <t>봉화군청소년센터</t>
  </si>
  <si>
    <t>봉화군수</t>
  </si>
  <si>
    <t>경북 봉화군 봉화읍 내성로1길 17-20</t>
  </si>
  <si>
    <t>054-679-6682</t>
  </si>
  <si>
    <t>054-679-6689</t>
  </si>
  <si>
    <t>춘양면</t>
  </si>
  <si>
    <t>국립청소년미래환경센터</t>
  </si>
  <si>
    <t> 봉화군 춘양면 춘양로 1466 </t>
  </si>
  <si>
    <t>054-679-3000</t>
  </si>
  <si>
    <t>054-679-3049</t>
  </si>
  <si>
    <t>nyfc.kywa.or.kr/</t>
  </si>
  <si>
    <t>상주시</t>
  </si>
  <si>
    <t>계산동</t>
  </si>
  <si>
    <t xml:space="preserve">상주청소년문화의집         </t>
  </si>
  <si>
    <t>상주시장</t>
  </si>
  <si>
    <t>경북 상주시 북상주로 24-42</t>
  </si>
  <si>
    <t>수련관내(3층)</t>
  </si>
  <si>
    <t>054-537-6738</t>
  </si>
  <si>
    <t>054-537-6739</t>
  </si>
  <si>
    <t>http://youth.sangju.go.kr/</t>
  </si>
  <si>
    <t xml:space="preserve">상주시청소년수련관        </t>
  </si>
  <si>
    <t>성주군</t>
  </si>
  <si>
    <t>성주읍</t>
  </si>
  <si>
    <t>성주군청소년문화의집</t>
  </si>
  <si>
    <t>성주군수</t>
  </si>
  <si>
    <t>경북 성주군 성주읍 성주순환로 271-9</t>
  </si>
  <si>
    <t>054-930-6882</t>
  </si>
  <si>
    <t>054-931-3630</t>
  </si>
  <si>
    <t>안동시</t>
  </si>
  <si>
    <t>옥야동</t>
  </si>
  <si>
    <t xml:space="preserve">안동시청소년수련관        </t>
  </si>
  <si>
    <t>안동시장</t>
  </si>
  <si>
    <t>안동시시설관리공단</t>
  </si>
  <si>
    <t>경북 안동시 축제장길 42(옥야동)</t>
  </si>
  <si>
    <t>054-850-4620</t>
  </si>
  <si>
    <t>054-858-7636</t>
  </si>
  <si>
    <t>https://www.andongsisul.or.kr:452</t>
  </si>
  <si>
    <t>태화동</t>
  </si>
  <si>
    <t xml:space="preserve">안동청소년문화센터        </t>
  </si>
  <si>
    <t>장채묵</t>
  </si>
  <si>
    <t>(재)고운청소년재단</t>
  </si>
  <si>
    <t>경북 안동시 광명로 233(태화동)</t>
  </si>
  <si>
    <t>054-841-2324</t>
  </si>
  <si>
    <t>054-843-2324</t>
  </si>
  <si>
    <t>www.adycc.or.kr</t>
  </si>
  <si>
    <t>남후면</t>
  </si>
  <si>
    <t>안동시청소년수련원(구 하아그린파크청소년수련원)</t>
  </si>
  <si>
    <t>경북 안동시 남후면 아곡길 971</t>
  </si>
  <si>
    <t>054-850-4570</t>
  </si>
  <si>
    <t>054-857-8591</t>
  </si>
  <si>
    <t>https://www.andongsisul.or.kr</t>
  </si>
  <si>
    <t>영덕군</t>
  </si>
  <si>
    <t>영덕읍</t>
  </si>
  <si>
    <t xml:space="preserve">영덕군청소년문화의집     </t>
  </si>
  <si>
    <t>영덕군수</t>
  </si>
  <si>
    <t>경북 영덕군 영덕읍 강변길 324</t>
  </si>
  <si>
    <t>054-730-7360</t>
  </si>
  <si>
    <t>054-730-6949</t>
  </si>
  <si>
    <t>http://www.yd.go.kr/?page_id=2892/</t>
  </si>
  <si>
    <t>국립청소년해양센터</t>
  </si>
  <si>
    <t>경북 영덕군 영덕읍 영덕대게로 911-44</t>
  </si>
  <si>
    <t>지하 1층 지상3층</t>
  </si>
  <si>
    <t>054-730-8500</t>
  </si>
  <si>
    <t>054-730-8549</t>
  </si>
  <si>
    <t xml:space="preserve">nyoc.kywa.or.kr/ </t>
  </si>
  <si>
    <t>영덕 바다숲 향기말 유스호스텔</t>
  </si>
  <si>
    <t>경북 영덕군 영덕읍 해맞이길 254-55</t>
  </si>
  <si>
    <t>지상1층~3층</t>
  </si>
  <si>
    <t>054-730-7062</t>
  </si>
  <si>
    <t>054-730-6599</t>
  </si>
  <si>
    <t>http://stay.yd.go.kr/camping/</t>
  </si>
  <si>
    <t>영양군</t>
  </si>
  <si>
    <t>수비면</t>
  </si>
  <si>
    <t>영양군청소년수련원</t>
  </si>
  <si>
    <t>영양군수</t>
  </si>
  <si>
    <t>생태공원사업소</t>
  </si>
  <si>
    <t>경북 영양군 수비면 반딧불이로 227</t>
  </si>
  <si>
    <t>054-680-5324</t>
  </si>
  <si>
    <t>054-680-5319</t>
  </si>
  <si>
    <t>http://np.yyg.go.kr</t>
  </si>
  <si>
    <t>영양읍</t>
  </si>
  <si>
    <t>영양군청소년수련관</t>
  </si>
  <si>
    <t>경북 영양군 영양읍 동서대로 92</t>
  </si>
  <si>
    <t>054-680-6291</t>
  </si>
  <si>
    <t>054-680-6299</t>
  </si>
  <si>
    <t>www.yyg.go.kr/youth</t>
  </si>
  <si>
    <t>영주시</t>
  </si>
  <si>
    <t>영주동</t>
  </si>
  <si>
    <t xml:space="preserve">영주청소년문화의집         </t>
  </si>
  <si>
    <t>영주시장</t>
  </si>
  <si>
    <t>경북 영주시 광복로 63, 65</t>
  </si>
  <si>
    <t>054-639-5862</t>
  </si>
  <si>
    <t>054-639-5863</t>
  </si>
  <si>
    <t>www.yjyc.or.kr</t>
  </si>
  <si>
    <t>순흥면</t>
  </si>
  <si>
    <t xml:space="preserve">영주시청소년수련원        </t>
  </si>
  <si>
    <t>(사)청소년문화연합</t>
  </si>
  <si>
    <t>경북 영주시 순흥면 소백로 2790</t>
  </si>
  <si>
    <t>054-633-6600</t>
  </si>
  <si>
    <t>054-631-0025</t>
  </si>
  <si>
    <t>www.yjytc.com</t>
  </si>
  <si>
    <t>아지동</t>
  </si>
  <si>
    <t xml:space="preserve">아지청소년야영장           </t>
  </si>
  <si>
    <t>경북 영주시 회헌로 433-1</t>
  </si>
  <si>
    <t>1,233(야영장)
525(수영장)
212(관리사)</t>
  </si>
  <si>
    <t>054-637-2128</t>
  </si>
  <si>
    <t>www.yeongju.go.kr</t>
  </si>
  <si>
    <t>영천시</t>
  </si>
  <si>
    <t xml:space="preserve">영천시청소년수련관        </t>
  </si>
  <si>
    <t>영천시장</t>
  </si>
  <si>
    <t>경북 영천시 운동장로 92(교촌동)</t>
  </si>
  <si>
    <t>054-330-6634</t>
  </si>
  <si>
    <t>054-339-8869</t>
  </si>
  <si>
    <t>www.yc.go.kr</t>
  </si>
  <si>
    <t>문외동</t>
  </si>
  <si>
    <t>영천시청소년문화의집</t>
  </si>
  <si>
    <t>경북 영천시 중앙동2길 52-19(문외동)</t>
  </si>
  <si>
    <t>054-330-6508</t>
  </si>
  <si>
    <t>054-335-6879</t>
  </si>
  <si>
    <t>http://moonzip6508.modoo.at</t>
  </si>
  <si>
    <t>예천군</t>
  </si>
  <si>
    <t>예천읍</t>
  </si>
  <si>
    <t>예천군청소년수련관</t>
  </si>
  <si>
    <t>예천군수</t>
  </si>
  <si>
    <t>경북 예천군 예천읍 충효로 393, 3층</t>
  </si>
  <si>
    <t>3.491.64</t>
  </si>
  <si>
    <t>054-650-6427</t>
  </si>
  <si>
    <t>054-650-6429</t>
  </si>
  <si>
    <t>http://www.ycg.kr/open.content/culture/</t>
  </si>
  <si>
    <t>예천군청소년문화의집</t>
  </si>
  <si>
    <t>경북 예천군 호명면 봉호로 4040, 3층</t>
  </si>
  <si>
    <t>054-650-8537</t>
  </si>
  <si>
    <t>054-650-8539</t>
  </si>
  <si>
    <t>울릉군</t>
  </si>
  <si>
    <t>울릉읍</t>
  </si>
  <si>
    <t>울릉군청소년수련관</t>
  </si>
  <si>
    <t>울릉군수</t>
  </si>
  <si>
    <t>경북 울릉군 울릉읍 울릉순환로 286</t>
  </si>
  <si>
    <t>054-790-6218</t>
  </si>
  <si>
    <t>054-790-6259</t>
  </si>
  <si>
    <t>울진군</t>
  </si>
  <si>
    <t>울진읍</t>
  </si>
  <si>
    <t>울진군청소년문화의집</t>
  </si>
  <si>
    <t>울진군수</t>
  </si>
  <si>
    <t>경북 울진군 후포면 후포삼율로 194-14</t>
  </si>
  <si>
    <t>054-789-6704</t>
  </si>
  <si>
    <t>054-789-3112</t>
  </si>
  <si>
    <t>울진군청소년수련관</t>
  </si>
  <si>
    <t>경북 울진군 울진읍 대나리항길2</t>
  </si>
  <si>
    <t>www.uljin.go.kr</t>
  </si>
  <si>
    <t>의성군</t>
  </si>
  <si>
    <t>의성읍</t>
  </si>
  <si>
    <t>의성군청소년센터</t>
  </si>
  <si>
    <t>의성군수</t>
  </si>
  <si>
    <t>경북 의성군 의성읍 충효로 68</t>
  </si>
  <si>
    <t>054-830-6949</t>
  </si>
  <si>
    <t>054-832-3797</t>
  </si>
  <si>
    <t>www.usc.go.kr</t>
  </si>
  <si>
    <t>의성군청소년문화의집</t>
  </si>
  <si>
    <t>경북 의성군 의성읍 후죽4길 6</t>
  </si>
  <si>
    <t>054-830-5516</t>
  </si>
  <si>
    <t>054-833-9200</t>
  </si>
  <si>
    <t>청도군</t>
  </si>
  <si>
    <t>화양읍</t>
  </si>
  <si>
    <t xml:space="preserve">청도군청소년수련관    </t>
  </si>
  <si>
    <t>청도군수</t>
  </si>
  <si>
    <t>경북 청도군 화양읍 청려로 1846</t>
  </si>
  <si>
    <t>054-370-6395</t>
  </si>
  <si>
    <t>054-370-6399</t>
  </si>
  <si>
    <t>http://www.cheongdo.go.kr</t>
  </si>
  <si>
    <t>청송군</t>
  </si>
  <si>
    <t>청송읍</t>
  </si>
  <si>
    <t>청송군청소년수련관</t>
  </si>
  <si>
    <t>청송군수</t>
  </si>
  <si>
    <t>경북 청송군 청송읍 복지타운길 77</t>
  </si>
  <si>
    <t>054-870-6651</t>
  </si>
  <si>
    <t>054-870-6659</t>
  </si>
  <si>
    <t>http://futurecsy.or.kr/</t>
  </si>
  <si>
    <t>칠곡군</t>
  </si>
  <si>
    <t>왜관읍</t>
  </si>
  <si>
    <t>칠곡군청소년수련관</t>
  </si>
  <si>
    <t>칠곡군수</t>
  </si>
  <si>
    <t>칠곡군(교육문화회관)</t>
  </si>
  <si>
    <t>경북 칠곡군 왜관읍 관문로1길 32</t>
  </si>
  <si>
    <t>054-979-5121</t>
  </si>
  <si>
    <t>054-979-5119</t>
  </si>
  <si>
    <t>https://www.chilgok.go.kr/intro.jsp</t>
  </si>
  <si>
    <t>석적읍</t>
  </si>
  <si>
    <t>아카데미유스호스텔</t>
  </si>
  <si>
    <t>송옥현</t>
  </si>
  <si>
    <t>송옥헌</t>
  </si>
  <si>
    <t>경북 칠곡군 석적읍 남율1길 12-18</t>
  </si>
  <si>
    <t>칠곡군청소년문화의집</t>
  </si>
  <si>
    <t>경북 칠곡군 석적읍 석적로 646</t>
  </si>
  <si>
    <t>054-979-6621</t>
  </si>
  <si>
    <t>054-971-6314</t>
  </si>
  <si>
    <t>http://www.chilgok.go.kr/youth</t>
  </si>
  <si>
    <t>포항시</t>
  </si>
  <si>
    <t>포항청소년문화의집</t>
  </si>
  <si>
    <t>포항시장</t>
  </si>
  <si>
    <t>포항시청소년재단</t>
  </si>
  <si>
    <t>경북 포항시 북구 중앙로 325</t>
  </si>
  <si>
    <t>054-240-9190</t>
  </si>
  <si>
    <t>054-252-0309</t>
  </si>
  <si>
    <t>www.phyf.or.kr</t>
  </si>
  <si>
    <t>환호동</t>
  </si>
  <si>
    <t>포항청소년수련관</t>
  </si>
  <si>
    <t>경북 포항시 북구 삼호로 533</t>
  </si>
  <si>
    <t>054-240-9130</t>
  </si>
  <si>
    <t>054-252-3512</t>
  </si>
  <si>
    <t>구룡포읍</t>
  </si>
  <si>
    <t>구룡포청소년수련원</t>
  </si>
  <si>
    <t>경북 포항시 남구 구룡포읍 명월길 51</t>
  </si>
  <si>
    <t xml:space="preserve">해송관(B1F,지상3F),해맞이관(B1F,지상2F), 갈매기관(지상2F) </t>
  </si>
  <si>
    <t>054-240-9150</t>
  </si>
  <si>
    <t>054-284-6687</t>
  </si>
  <si>
    <t xml:space="preserve"> 거제시 </t>
  </si>
  <si>
    <t xml:space="preserve"> 동부면 </t>
  </si>
  <si>
    <t xml:space="preserve">가배랑리조트수련원 </t>
  </si>
  <si>
    <t xml:space="preserve">민간 </t>
  </si>
  <si>
    <t>이문식</t>
  </si>
  <si>
    <t xml:space="preserve"> 경남 거제시 동부면 함박금길 85 </t>
  </si>
  <si>
    <t xml:space="preserve"> 지상4층 </t>
  </si>
  <si>
    <t xml:space="preserve"> 055-637-5454 </t>
  </si>
  <si>
    <t xml:space="preserve"> 055-637-5450 </t>
  </si>
  <si>
    <t xml:space="preserve"> - </t>
  </si>
  <si>
    <t>거제시</t>
  </si>
  <si>
    <t>고현동</t>
  </si>
  <si>
    <t>거제시청소년수련관</t>
  </si>
  <si>
    <t>거제시장</t>
  </si>
  <si>
    <t>거제해양관광개발공사</t>
  </si>
  <si>
    <t>경남 거제시 계룡로 175</t>
  </si>
  <si>
    <t>055-639-8163</t>
  </si>
  <si>
    <t>055-639-8160</t>
  </si>
  <si>
    <t>https://www.geoje.go.kr/youthplatform</t>
  </si>
  <si>
    <t>남부면</t>
  </si>
  <si>
    <t>거제썬트리팜</t>
  </si>
  <si>
    <t>임진강</t>
  </si>
  <si>
    <t>경남 거제시 남부면 거제대로 283</t>
  </si>
  <si>
    <t>2,903,22</t>
  </si>
  <si>
    <t>055-632-7977</t>
  </si>
  <si>
    <t>055-632-4806</t>
  </si>
  <si>
    <t>http://www.geojedo.or.kr/</t>
  </si>
  <si>
    <t>동부면</t>
  </si>
  <si>
    <t>거제그린유스타운</t>
  </si>
  <si>
    <t>임만규</t>
  </si>
  <si>
    <t>경남 거제시 동부면 거제중앙로 385-25</t>
  </si>
  <si>
    <t>지상3층외</t>
  </si>
  <si>
    <t>055-632-8393</t>
  </si>
  <si>
    <t>055-632-8595</t>
  </si>
  <si>
    <t>http://www.gytown.co.kr/</t>
  </si>
  <si>
    <t>연초면</t>
  </si>
  <si>
    <t>거제해와나루유스호스텔</t>
  </si>
  <si>
    <t>㈜해와나루 윤혜정</t>
  </si>
  <si>
    <t>㈜해와나루</t>
  </si>
  <si>
    <t>경남 거제시 연초면 연하해안로 284</t>
  </si>
  <si>
    <t>055-636-7942</t>
  </si>
  <si>
    <t>www.ghntown.co.kr</t>
  </si>
  <si>
    <t>고현청소년문화의집</t>
  </si>
  <si>
    <t>경남 거제시 중곡로46</t>
  </si>
  <si>
    <t>055-639-8182</t>
  </si>
  <si>
    <t>055-639-8185</t>
  </si>
  <si>
    <t>옥포동</t>
  </si>
  <si>
    <t>옥포청소년문화의집</t>
  </si>
  <si>
    <t>경남 거제시 옥포대첩로 84-1</t>
  </si>
  <si>
    <t>055-639-8231</t>
  </si>
  <si>
    <t>055-639-8235</t>
  </si>
  <si>
    <t>힐포인트거제유스호스텔</t>
  </si>
  <si>
    <t>김창용</t>
  </si>
  <si>
    <t>경남 거제시 남부면 갈곶리 347-6</t>
  </si>
  <si>
    <t>0507-1407-0772</t>
  </si>
  <si>
    <t>http://www.healpointw.co.kr</t>
  </si>
  <si>
    <t>아주동</t>
  </si>
  <si>
    <t>아주청소년문화의집</t>
  </si>
  <si>
    <t>거제시청</t>
  </si>
  <si>
    <t>경남 거제시 아주1로 76</t>
  </si>
  <si>
    <t>055-639-3040</t>
  </si>
  <si>
    <t>055-639-4769</t>
  </si>
  <si>
    <t>거창군</t>
  </si>
  <si>
    <t>거창읍</t>
  </si>
  <si>
    <t>거창군청소년수련관</t>
  </si>
  <si>
    <t>거창군수</t>
  </si>
  <si>
    <t>경남 거창군 거창읍 교촌길 100-30</t>
  </si>
  <si>
    <t>055-940-8703</t>
  </si>
  <si>
    <t>055-940-8709</t>
  </si>
  <si>
    <t>http://www.geochang.go.kr/youth/Index.do</t>
  </si>
  <si>
    <t>거창군청소년문화의집</t>
  </si>
  <si>
    <t>경남 거창군 거창읍 거함대로 4길 60</t>
  </si>
  <si>
    <t>055-940-8830</t>
  </si>
  <si>
    <t>055-945-2088</t>
  </si>
  <si>
    <t>www.geochang.go.kr/gcyouth/Index.do</t>
  </si>
  <si>
    <t>북상면</t>
  </si>
  <si>
    <t>거창군월성청소년수련원</t>
  </si>
  <si>
    <t>거창흥사단</t>
  </si>
  <si>
    <t>경남 거창군 북상면 덕유월성로 1312-96</t>
  </si>
  <si>
    <t>055-945-1913</t>
  </si>
  <si>
    <t>055-945-2913</t>
  </si>
  <si>
    <t>www.moonstar.or.kr/</t>
  </si>
  <si>
    <t>고제면</t>
  </si>
  <si>
    <t>덕유산청소년수련원</t>
  </si>
  <si>
    <t>경남 거창군 고제면 빼재로 2027</t>
  </si>
  <si>
    <t>055-943-6311</t>
  </si>
  <si>
    <t>055-943-6211</t>
  </si>
  <si>
    <t>http://www.dukyoo.com/</t>
  </si>
  <si>
    <t>고성읍</t>
  </si>
  <si>
    <t>비비파크유스호스텔</t>
  </si>
  <si>
    <t>(주)다성홀릭(이형숙)</t>
  </si>
  <si>
    <t>(주)다성홀릭</t>
  </si>
  <si>
    <t>경상남도 고성군 고성읍 신월2길 68</t>
  </si>
  <si>
    <t>지상2층, 주1동/부4동</t>
  </si>
  <si>
    <t>http://bbpark.co.kr</t>
  </si>
  <si>
    <t>회화면</t>
  </si>
  <si>
    <t>고성동부청소년센터</t>
  </si>
  <si>
    <t>경남 고성군 회화면 관인로 44번길 26-5</t>
  </si>
  <si>
    <t>055-670-2919</t>
  </si>
  <si>
    <t>http://gsyon.or.kr/main/main.php</t>
  </si>
  <si>
    <t>하이면</t>
  </si>
  <si>
    <t>경상남도청소년수련원</t>
  </si>
  <si>
    <t>경상남도지사</t>
  </si>
  <si>
    <t>경남 고성군 하이면 자란만로 646</t>
  </si>
  <si>
    <t>055-834-6211</t>
  </si>
  <si>
    <t>055-834-6212</t>
  </si>
  <si>
    <t>고성군청소년센터"온"</t>
  </si>
  <si>
    <t>경남 고성군 고성읍 성내로 61</t>
  </si>
  <si>
    <t>055-670-5933</t>
  </si>
  <si>
    <t>055-673-2999</t>
  </si>
  <si>
    <t>고성한산마리나</t>
  </si>
  <si>
    <t>(주)한어울고성점(구길용)</t>
  </si>
  <si>
    <t>(주)한어울고성점</t>
  </si>
  <si>
    <t>경남 고성군 회화면 회진로 515</t>
  </si>
  <si>
    <t>지상2층, 주7동</t>
  </si>
  <si>
    <t>0507-1429-7998</t>
  </si>
  <si>
    <t>http://hansanmarina.kr</t>
  </si>
  <si>
    <t>김해시</t>
  </si>
  <si>
    <t>북부동</t>
  </si>
  <si>
    <t>김해시청소년센터(구 김해시청소년문화의집)</t>
  </si>
  <si>
    <t>김해시장</t>
  </si>
  <si>
    <t xml:space="preserve">경남 김해시 가락로 176번길 3 </t>
  </si>
  <si>
    <t>055-330-4634</t>
  </si>
  <si>
    <t>055-336-4635</t>
  </si>
  <si>
    <t>https://www.gimhae.go.kr/00976/01420/01421.web</t>
  </si>
  <si>
    <t>진영읍</t>
  </si>
  <si>
    <t>김해시청소년수련관</t>
  </si>
  <si>
    <t>재)김해시복지재단</t>
  </si>
  <si>
    <t>경남 김해시 진영읍 김해대로 257</t>
  </si>
  <si>
    <t xml:space="preserve">지하1층,지상6층 </t>
  </si>
  <si>
    <t>055-346-2100</t>
  </si>
  <si>
    <t>055-346-2104</t>
  </si>
  <si>
    <t xml:space="preserve">http://www.ghwf.or.kr/00003/00041/00133.web
</t>
  </si>
  <si>
    <t>장유1동</t>
  </si>
  <si>
    <t>김해시서부청소년센터</t>
  </si>
  <si>
    <t>재단법인김해시복지재단</t>
  </si>
  <si>
    <t>경남 김해시 월산로 116</t>
  </si>
  <si>
    <t>055-344-8700</t>
  </si>
  <si>
    <t>055-344-1999</t>
  </si>
  <si>
    <t>www.ghwy.or.kr</t>
  </si>
  <si>
    <t>남해군</t>
  </si>
  <si>
    <t>삼동면</t>
  </si>
  <si>
    <t>남해유스타운</t>
  </si>
  <si>
    <t>조문권</t>
  </si>
  <si>
    <t>고광석</t>
  </si>
  <si>
    <t>경남 남해군 삼동면 동부대로 1542-12</t>
  </si>
  <si>
    <t xml:space="preserve">지상4층,지상3층,지상4층 </t>
  </si>
  <si>
    <t>055-867-4848</t>
  </si>
  <si>
    <t>055-867-4850</t>
  </si>
  <si>
    <t xml:space="preserve">www.nytown.kr/ </t>
  </si>
  <si>
    <t>남해청소년수련원</t>
  </si>
  <si>
    <t>정귀덕</t>
  </si>
  <si>
    <t>한려개발</t>
  </si>
  <si>
    <t>경남 남해군 삼동면 동부대로 1542-35</t>
  </si>
  <si>
    <t>055-867-4510</t>
  </si>
  <si>
    <t>055-867-4261</t>
  </si>
  <si>
    <t>http://www.남해청소년수련원.com/</t>
  </si>
  <si>
    <t>상주면</t>
  </si>
  <si>
    <t>상주비치유스호스텔</t>
  </si>
  <si>
    <t>하채정</t>
  </si>
  <si>
    <t>경남 남해군 상주면 상주로 60번길 15</t>
  </si>
  <si>
    <t>055-863-6001</t>
  </si>
  <si>
    <t>http://www.sangjupension.co.kr/</t>
  </si>
  <si>
    <t>상주유스호스텔</t>
  </si>
  <si>
    <t>안상욱</t>
  </si>
  <si>
    <t>경남 남해군 상주면 남해대로 674</t>
  </si>
  <si>
    <t>055-863-5609</t>
  </si>
  <si>
    <t>X</t>
  </si>
  <si>
    <t>밀양시</t>
  </si>
  <si>
    <t>내일동</t>
  </si>
  <si>
    <t>밀양시청소년문화의집</t>
  </si>
  <si>
    <t>밀양시장</t>
  </si>
  <si>
    <t>(재)푸른쉼터장학회</t>
  </si>
  <si>
    <t>경남 밀양시 중앙로 346(내일동)</t>
  </si>
  <si>
    <t>055-355-7200</t>
  </si>
  <si>
    <t>055-355-7280</t>
  </si>
  <si>
    <t>http://www.myculturecenter.or.kr/</t>
  </si>
  <si>
    <t>단장면</t>
  </si>
  <si>
    <t>아멘청소년수련원</t>
  </si>
  <si>
    <t>조주형</t>
  </si>
  <si>
    <t>한경혜</t>
  </si>
  <si>
    <t>경남 밀양시 단장면 국전로 800-97</t>
  </si>
  <si>
    <t>055-356-7951</t>
  </si>
  <si>
    <t>삼문동</t>
  </si>
  <si>
    <t>밀양시청소년수련관</t>
  </si>
  <si>
    <t>(재)한가람문화재단</t>
  </si>
  <si>
    <t>경남 밀양시 삼문송림길 26(삼문동)</t>
  </si>
  <si>
    <t>055-352-5166</t>
  </si>
  <si>
    <t>055-352-5175</t>
  </si>
  <si>
    <t>http://www.miryouth.net/</t>
  </si>
  <si>
    <t>사천시</t>
  </si>
  <si>
    <t>사천읍</t>
  </si>
  <si>
    <t>사천청소년문화의집</t>
  </si>
  <si>
    <t>사천시장</t>
  </si>
  <si>
    <t>(재단법인)사천시 복지청소년재단</t>
  </si>
  <si>
    <t>경남 사천시 사천읍 선평길 29</t>
  </si>
  <si>
    <t>055-831-4560</t>
  </si>
  <si>
    <t>055-852-4017</t>
  </si>
  <si>
    <t>www.youthsacheon.com</t>
  </si>
  <si>
    <t>벌용동</t>
  </si>
  <si>
    <t>사천시청소년수련관</t>
  </si>
  <si>
    <t>경남 사천시 문선4길 23(벌리동)</t>
  </si>
  <si>
    <t xml:space="preserve">지하1층, 지상4층 </t>
  </si>
  <si>
    <t>055-831-4510</t>
  </si>
  <si>
    <t>055-835-9270</t>
  </si>
  <si>
    <t>산청군</t>
  </si>
  <si>
    <t>산청읍</t>
  </si>
  <si>
    <t>산청군청소년수련관</t>
  </si>
  <si>
    <t>산청군수</t>
  </si>
  <si>
    <t>경남 산청군 산청읍 산엔청로 1</t>
  </si>
  <si>
    <t>055-970-6571</t>
  </si>
  <si>
    <t>055-970-6579</t>
  </si>
  <si>
    <t>소남청소년수련원</t>
  </si>
  <si>
    <t>정의훈</t>
  </si>
  <si>
    <t>경남 산청군 단성면 목화로 474번길 14-5</t>
  </si>
  <si>
    <t>055-973-9262</t>
  </si>
  <si>
    <t>055-973-9261</t>
  </si>
  <si>
    <t>지리산청소년수련원</t>
  </si>
  <si>
    <t>조임순</t>
  </si>
  <si>
    <t>경남 산청군 단성면 지리산대로 2395번길 26-25</t>
  </si>
  <si>
    <t>055-974-1100</t>
  </si>
  <si>
    <t>055-973-7596</t>
  </si>
  <si>
    <t>http://www.jycamp.co.kr/</t>
  </si>
  <si>
    <t>차황면</t>
  </si>
  <si>
    <t>황매산청소년야영장</t>
  </si>
  <si>
    <t>사단법인 부산YMCA</t>
  </si>
  <si>
    <t>경남 산청군 차황면 황매산로 1126-7</t>
  </si>
  <si>
    <t>055-973-5055</t>
  </si>
  <si>
    <t>psywca.or.kr</t>
  </si>
  <si>
    <t>양산시</t>
  </si>
  <si>
    <t>주진동</t>
  </si>
  <si>
    <t>소주청소년문화의집</t>
  </si>
  <si>
    <t>양산시장</t>
  </si>
  <si>
    <t>양산시장(양산시)</t>
  </si>
  <si>
    <t>경남 양산시 모래들길 57-57(주진동)</t>
  </si>
  <si>
    <t>4층(4층만 사용)</t>
  </si>
  <si>
    <t>055-392-5995</t>
  </si>
  <si>
    <t>055-387-1919</t>
  </si>
  <si>
    <t>http://teen.yangsan.go.kr/</t>
  </si>
  <si>
    <t>원동면</t>
  </si>
  <si>
    <t>유스호스텔파래소</t>
  </si>
  <si>
    <t>오규현</t>
  </si>
  <si>
    <t>주식회사 오앤알</t>
  </si>
  <si>
    <t>경남 양산시 원동면 청수골길 9</t>
  </si>
  <si>
    <t>055-367-9999</t>
  </si>
  <si>
    <t>055-388-0254</t>
  </si>
  <si>
    <t>http://www.youth-hostel.co.kr/</t>
  </si>
  <si>
    <t>중부동</t>
  </si>
  <si>
    <t>양산시청소년회관</t>
  </si>
  <si>
    <t>경남 양산시 양주3길 36(중부동)</t>
  </si>
  <si>
    <t>055-362-0924</t>
  </si>
  <si>
    <t>055-392-2599</t>
  </si>
  <si>
    <t>하북면</t>
  </si>
  <si>
    <t>해운청소년수련원</t>
  </si>
  <si>
    <t>김인순</t>
  </si>
  <si>
    <t>해운개발㈜</t>
  </si>
  <si>
    <t>경남 양산시 하북면 삼수온천길 27</t>
  </si>
  <si>
    <t>055-384-0061</t>
  </si>
  <si>
    <t>055-372-7070</t>
  </si>
  <si>
    <t>http://www.hae-woon.co.kr</t>
  </si>
  <si>
    <t>천주교부산교구청소년수련장</t>
  </si>
  <si>
    <t>재)천주교부산교구유지재단</t>
  </si>
  <si>
    <t>재)부산가톨릭청소년회</t>
  </si>
  <si>
    <t>경남 양산시 상북면 상삼리 산16-8일원</t>
  </si>
  <si>
    <t>051-629-8784</t>
  </si>
  <si>
    <t>051-629-8748</t>
  </si>
  <si>
    <t>https://busan.odoo.com</t>
  </si>
  <si>
    <t>늘푸른유스호스텔</t>
  </si>
  <si>
    <t>통도사</t>
  </si>
  <si>
    <t>경남 양산시 하북면 지산리 645-8</t>
  </si>
  <si>
    <t>055-384-7085</t>
  </si>
  <si>
    <t>055-382-9122</t>
  </si>
  <si>
    <t>물금읍</t>
  </si>
  <si>
    <t>물금 청소년문화의집</t>
  </si>
  <si>
    <t>재)한가람문화재단</t>
  </si>
  <si>
    <t>경남 양산시 물금읍 백호로 41</t>
  </si>
  <si>
    <t>055-785-0924</t>
  </si>
  <si>
    <t>055-785-0946</t>
  </si>
  <si>
    <t>www.myt.or.kr</t>
  </si>
  <si>
    <t>의령군</t>
  </si>
  <si>
    <t>가례면</t>
  </si>
  <si>
    <t>알펜라켄청소년수련원</t>
  </si>
  <si>
    <t>(사)경남사회진흥연수원</t>
  </si>
  <si>
    <t>(주)엔데버 주식회사</t>
  </si>
  <si>
    <t>경남 의령군 가례면 가례로 747-37</t>
  </si>
  <si>
    <t>055-573-1802</t>
  </si>
  <si>
    <t>055-573-1318</t>
  </si>
  <si>
    <t>www.1318camp.kr</t>
  </si>
  <si>
    <t>부림면</t>
  </si>
  <si>
    <t>의령군청소년수련관</t>
  </si>
  <si>
    <t>의령군수</t>
  </si>
  <si>
    <t>경남 의령군 부림면 신번로11길 26</t>
  </si>
  <si>
    <t>055-574-2212</t>
  </si>
  <si>
    <t>055-574-2213</t>
  </si>
  <si>
    <t>www.의령군청소년수련관.kr</t>
  </si>
  <si>
    <t>의령읍</t>
  </si>
  <si>
    <t>의령군청소년문화의집</t>
  </si>
  <si>
    <t>경남홍의청소년육성회</t>
  </si>
  <si>
    <t>경남 의령군 의령읍 의령대로 1577-25</t>
  </si>
  <si>
    <t>055-574-2113</t>
  </si>
  <si>
    <t>070-8275-2114</t>
  </si>
  <si>
    <t>www.yuc.or.kr</t>
  </si>
  <si>
    <t>진주시</t>
  </si>
  <si>
    <t>본성동</t>
  </si>
  <si>
    <t>진주시청소년수련관</t>
  </si>
  <si>
    <t>진주시장</t>
  </si>
  <si>
    <t>경남 진주시 남강로 651번길12(본성동)</t>
  </si>
  <si>
    <t>055-749-5453</t>
  </si>
  <si>
    <t>055-749-5449</t>
  </si>
  <si>
    <t>https://www.jinju.go.kr/youth.web</t>
  </si>
  <si>
    <t>내동면</t>
  </si>
  <si>
    <t>KDPO스포츠가치센터 유스호스텔</t>
  </si>
  <si>
    <t>경남 진주시 내동면 삼계로 360</t>
  </si>
  <si>
    <t>주2동, 부1동</t>
  </si>
  <si>
    <t>055-790-9380</t>
  </si>
  <si>
    <t>055-790-9389</t>
  </si>
  <si>
    <t>https://www.sportsvalue.kspo.or.kr/main,kspo</t>
  </si>
  <si>
    <t>창녕군</t>
  </si>
  <si>
    <t>영산면</t>
  </si>
  <si>
    <t>영산청소년문화의집</t>
  </si>
  <si>
    <t>경남 창녕군 영산면 신영산로12</t>
  </si>
  <si>
    <t>055-536-8531</t>
  </si>
  <si>
    <t>055-536-8532</t>
  </si>
  <si>
    <t>http://www.cng.go.kr/life/ysyouth.web</t>
  </si>
  <si>
    <t>고암면</t>
  </si>
  <si>
    <t>온누리청소년수련원</t>
  </si>
  <si>
    <t>김윤현</t>
  </si>
  <si>
    <t>경남 창녕군 고암면 창밀로 786</t>
  </si>
  <si>
    <t xml:space="preserve">지상3층 </t>
  </si>
  <si>
    <t>055-533-1781</t>
  </si>
  <si>
    <t>055-533-1780</t>
  </si>
  <si>
    <t>http://www.onnury.or.kr/</t>
  </si>
  <si>
    <t>이방면</t>
  </si>
  <si>
    <t>우포생태촌유스호스텔</t>
  </si>
  <si>
    <t>창녕군수</t>
  </si>
  <si>
    <t>경남 창녕군 이방면 우포2로 330</t>
  </si>
  <si>
    <t>055-530-1733</t>
  </si>
  <si>
    <t>055-530-1739</t>
  </si>
  <si>
    <t>http://upovill.cng.go.kr</t>
  </si>
  <si>
    <t>창녕읍</t>
  </si>
  <si>
    <t>창녕군청소년수련관</t>
  </si>
  <si>
    <t>경남 창녕군 창녕읍 화왕산1로 46</t>
  </si>
  <si>
    <t>055-533-9509</t>
  </si>
  <si>
    <t>055-532-9509</t>
  </si>
  <si>
    <t>http://www.cng.go.kr/life/cnyouth.web</t>
  </si>
  <si>
    <t>남지읍</t>
  </si>
  <si>
    <t>남지청소년문화의집</t>
  </si>
  <si>
    <t>경남 창녕군 남지읍 남지강변길 130</t>
  </si>
  <si>
    <t>055-521-6500</t>
  </si>
  <si>
    <t>055-521-6644</t>
  </si>
  <si>
    <t>http://www.cng.go.kr/life/njyouth.web</t>
  </si>
  <si>
    <t>창원시</t>
  </si>
  <si>
    <t>청계동</t>
  </si>
  <si>
    <t>마산청소년문화의집</t>
  </si>
  <si>
    <t>창원시장</t>
  </si>
  <si>
    <t>(사)마산YMCA</t>
  </si>
  <si>
    <t>경남 창원시 마산합포구 문화남7길 12</t>
  </si>
  <si>
    <t xml:space="preserve">지하1층,지상3층  </t>
  </si>
  <si>
    <t>055-252-8319</t>
  </si>
  <si>
    <t>055-608-6318</t>
  </si>
  <si>
    <t>www.msymca.or.kr</t>
  </si>
  <si>
    <t>합성동</t>
  </si>
  <si>
    <t>우리누리청소년문화센터</t>
  </si>
  <si>
    <t>창원시설공단</t>
  </si>
  <si>
    <t>경남 창원시 마산회원구 팔용로128</t>
  </si>
  <si>
    <t xml:space="preserve">지하1층~지상3층  </t>
  </si>
  <si>
    <t>055-712-0320</t>
  </si>
  <si>
    <t>055-712-0339</t>
  </si>
  <si>
    <t>https://www.cwsisul.or.kr/_urinuriyouth/</t>
  </si>
  <si>
    <t>진해청소년문화의집</t>
  </si>
  <si>
    <t>(재)반석청소년재단</t>
  </si>
  <si>
    <t>경남 창원시 진해구 웅천중로 59</t>
  </si>
  <si>
    <t>055-544-7788</t>
  </si>
  <si>
    <t>0303-3440-2151</t>
  </si>
  <si>
    <t>http://blog.naver.com/youthhome924</t>
  </si>
  <si>
    <t>풍호동</t>
  </si>
  <si>
    <t>진해청소년야영장</t>
  </si>
  <si>
    <t>경남 창원시 진해구 천자로 484</t>
  </si>
  <si>
    <t>055-544-1950</t>
  </si>
  <si>
    <t>055-544-1952</t>
  </si>
  <si>
    <t>https://www.cwsisul.or.kr/</t>
  </si>
  <si>
    <t>진해청소년수련관</t>
  </si>
  <si>
    <t>경남 창원시 진해구 진해대로1101</t>
  </si>
  <si>
    <t>055-540-0126</t>
  </si>
  <si>
    <t>0303-3440-0129</t>
  </si>
  <si>
    <t>http://www.jhyouth.kr/</t>
  </si>
  <si>
    <t>중평동</t>
  </si>
  <si>
    <t>진해청소년전당</t>
  </si>
  <si>
    <t>경남 창원시 진해구 중원로 33</t>
  </si>
  <si>
    <t>055-540-3400</t>
  </si>
  <si>
    <t>055-540-3499</t>
  </si>
  <si>
    <t>http://www.jinhaeyouth.or.kr/</t>
  </si>
  <si>
    <t>봉림동</t>
  </si>
  <si>
    <t>봉림청소년수련관</t>
  </si>
  <si>
    <t>사단법인 봉림</t>
  </si>
  <si>
    <t>경남 창원시 의창구 봉곡로 93번길 39-2</t>
  </si>
  <si>
    <t>지상2층, 지하2층</t>
  </si>
  <si>
    <t>055-237-1504</t>
  </si>
  <si>
    <t>055-237-1508</t>
  </si>
  <si>
    <t>http://www.cbyc.or.kr</t>
  </si>
  <si>
    <t>봉곡동</t>
  </si>
  <si>
    <t>봉림청소년문화의집</t>
  </si>
  <si>
    <t>경남 창원시 의창구 창이대로 259번길 19</t>
  </si>
  <si>
    <t>055-273-2117</t>
  </si>
  <si>
    <t>055-238-2117</t>
  </si>
  <si>
    <t>http://www.youthup.net/</t>
  </si>
  <si>
    <t>삼동동</t>
  </si>
  <si>
    <t>늘푸른전당</t>
  </si>
  <si>
    <t>경남 창원시 의창구 두대로 97</t>
  </si>
  <si>
    <t>055-712-0372</t>
  </si>
  <si>
    <t>055-712-0389</t>
  </si>
  <si>
    <t>https://www.cwsisul.or.kr/_greenhall</t>
  </si>
  <si>
    <t>통영시</t>
  </si>
  <si>
    <t>도남동</t>
  </si>
  <si>
    <t>통영시청소년수련원</t>
  </si>
  <si>
    <t>통영시장</t>
  </si>
  <si>
    <t>한국해양소년단경남남부연맹</t>
  </si>
  <si>
    <t>경남 통영시 발개로 194</t>
  </si>
  <si>
    <t>055-646-7925</t>
  </si>
  <si>
    <t>055-641-7942</t>
  </si>
  <si>
    <t xml:space="preserve">www.tyyouth.or.kr </t>
  </si>
  <si>
    <t>산양읍</t>
  </si>
  <si>
    <t>통영동원유스호스텔</t>
  </si>
  <si>
    <t>장정규</t>
  </si>
  <si>
    <t>남양종합개발</t>
  </si>
  <si>
    <t>경남 통영시 산양읍 담안길 240</t>
  </si>
  <si>
    <t>지하4층,지상4층</t>
  </si>
  <si>
    <t>055-640-5135</t>
  </si>
  <si>
    <t>055-640-5191</t>
  </si>
  <si>
    <t>https://www.dongwonresort.co.kr/</t>
  </si>
  <si>
    <t>인평동</t>
  </si>
  <si>
    <t>통영바다52유스호스텔</t>
  </si>
  <si>
    <t>최윤자</t>
  </si>
  <si>
    <t>경남 통영시 국치1길 52-30 (인평동)</t>
  </si>
  <si>
    <t>055-648-7872</t>
  </si>
  <si>
    <t>http://bada52.kr/</t>
  </si>
  <si>
    <t>통영관광유스호스텔 앤드 마티스비치</t>
  </si>
  <si>
    <t>박선연</t>
  </si>
  <si>
    <t>경남 통영시 국치1길 52-24 (인평동)</t>
  </si>
  <si>
    <t>055-645-2600</t>
  </si>
  <si>
    <t>055-648-2602</t>
  </si>
  <si>
    <t>https://luan-tongyeong.com/</t>
  </si>
  <si>
    <t>광도면</t>
  </si>
  <si>
    <t>통영시청소년문화의집</t>
  </si>
  <si>
    <t>경남 통영시 광도면 죽림해안로 187</t>
  </si>
  <si>
    <t>055-648-8001</t>
  </si>
  <si>
    <t>055-648-8010</t>
  </si>
  <si>
    <t>https://www.tyyc.or.kr/</t>
  </si>
  <si>
    <t>하동군</t>
  </si>
  <si>
    <t>북천면</t>
  </si>
  <si>
    <t>부일청소년수련원</t>
  </si>
  <si>
    <t>윤영화</t>
  </si>
  <si>
    <t>경남 하동군 북천면 곤북로 943-6</t>
  </si>
  <si>
    <t>055-883-7280~1</t>
  </si>
  <si>
    <t>055-883-7291</t>
  </si>
  <si>
    <t>http://builyouth.com/</t>
  </si>
  <si>
    <t>진교면</t>
  </si>
  <si>
    <t>진교청소년문화의집</t>
  </si>
  <si>
    <t>하동군수</t>
  </si>
  <si>
    <t>경남 하동군 진교면 강변길 13-2</t>
  </si>
  <si>
    <t>2006.04.20</t>
  </si>
  <si>
    <t>055-880-6038</t>
  </si>
  <si>
    <t>055-883-5593</t>
  </si>
  <si>
    <t>http://young.hadong.go.kr/</t>
  </si>
  <si>
    <t>청암면</t>
  </si>
  <si>
    <t>청학동서당청소년수련원</t>
  </si>
  <si>
    <t>서흥석</t>
  </si>
  <si>
    <t>경남 하동군 청암면 대밭땀길 12-18</t>
  </si>
  <si>
    <t>055-884-1300</t>
  </si>
  <si>
    <t>055-884-5973</t>
  </si>
  <si>
    <t>http://www.chunghak.net/</t>
  </si>
  <si>
    <t>하동읍</t>
  </si>
  <si>
    <t>하동군청소년수련관</t>
  </si>
  <si>
    <t>경남 하동군 하동읍 중앙로 72</t>
  </si>
  <si>
    <t>금남면</t>
  </si>
  <si>
    <t>하동미라클 청소년야영장</t>
  </si>
  <si>
    <t>조건</t>
  </si>
  <si>
    <t>경남 하동군 금남면 중평해안길 202</t>
  </si>
  <si>
    <t>055-882-8882</t>
  </si>
  <si>
    <t>055-882-8908</t>
  </si>
  <si>
    <t>http://hdmyc.kr/</t>
  </si>
  <si>
    <t>함안군</t>
  </si>
  <si>
    <t>가야읍</t>
  </si>
  <si>
    <t>함안군청소년수련관</t>
  </si>
  <si>
    <t>함안군수</t>
  </si>
  <si>
    <t>경남 함안군 가야읍 말산1길 10</t>
  </si>
  <si>
    <t>055-585-7367</t>
  </si>
  <si>
    <t>055-585-7368</t>
  </si>
  <si>
    <t>www.luvyouth.or.kr</t>
  </si>
  <si>
    <t>법수면</t>
  </si>
  <si>
    <t>아라청소년수련원</t>
  </si>
  <si>
    <t>안병철</t>
  </si>
  <si>
    <t>경남 함안군 법수면 장백로 891</t>
  </si>
  <si>
    <t>055-582-5008</t>
  </si>
  <si>
    <t>www.aracamp.co.kr</t>
  </si>
  <si>
    <t>칠원읍</t>
  </si>
  <si>
    <t>함안군청소년문화의집</t>
  </si>
  <si>
    <t>함안군 칠원읍 오곡로93</t>
  </si>
  <si>
    <t>055-586-8650</t>
  </si>
  <si>
    <t>055-586-8651</t>
  </si>
  <si>
    <t>www.pickyouth.or.kr</t>
  </si>
  <si>
    <t>함양군</t>
  </si>
  <si>
    <t>서하면</t>
  </si>
  <si>
    <t>황석산청소년수련원</t>
  </si>
  <si>
    <t>김필남</t>
  </si>
  <si>
    <t>경남 함양군 서하면 육십령로 2991</t>
  </si>
  <si>
    <t xml:space="preserve">지하1층,지상2층 </t>
  </si>
  <si>
    <t>055-964-8300</t>
  </si>
  <si>
    <t>055-964-8400</t>
  </si>
  <si>
    <t>http://www.황석산청소년수련원.com/</t>
  </si>
  <si>
    <t>합천군</t>
  </si>
  <si>
    <t>대병면</t>
  </si>
  <si>
    <t>합천호청소년수련원</t>
  </si>
  <si>
    <t>심춘덕</t>
  </si>
  <si>
    <t>경남 합천군 대병면 합천호수로 310</t>
  </si>
  <si>
    <t>055-932-0036</t>
  </si>
  <si>
    <t>055-934-1112</t>
  </si>
  <si>
    <t>http://www.hapchon.co.kr/</t>
  </si>
  <si>
    <t>초계면</t>
  </si>
  <si>
    <t>대암산청소년수련원</t>
  </si>
  <si>
    <t>강중엽</t>
  </si>
  <si>
    <t>경남 합천군 초계면 원당1길 123-8</t>
  </si>
  <si>
    <t>합천읍</t>
  </si>
  <si>
    <t>합천군청소년문화의집</t>
  </si>
  <si>
    <t>합천군수</t>
  </si>
  <si>
    <t>경남 합천군 합천읍 옥산로 96-5</t>
  </si>
  <si>
    <t>055-930-3914/3933</t>
  </si>
  <si>
    <t>055-930-3913</t>
  </si>
  <si>
    <t>http://hccc.hc.go.kr/</t>
  </si>
  <si>
    <t>서귀포시</t>
  </si>
  <si>
    <t>강정동</t>
  </si>
  <si>
    <t>서귀포시청소년수련관</t>
  </si>
  <si>
    <t>제주특별자치도지사</t>
  </si>
  <si>
    <t>제주도 서귀포시 중산간서로 97-1(강정동)</t>
  </si>
  <si>
    <t>064-760-6461</t>
  </si>
  <si>
    <t>064-739-8956</t>
  </si>
  <si>
    <t>http://seogwipo.go.kr/youth/</t>
  </si>
  <si>
    <t>대정읍</t>
  </si>
  <si>
    <t>대정청소년수련관</t>
  </si>
  <si>
    <t>제주도 서귀포시 대정읍 동일하모로 149번길 21-8</t>
  </si>
  <si>
    <t>064-760-6421</t>
  </si>
  <si>
    <t>064-794-6261</t>
  </si>
  <si>
    <t>http://www.seogwipo.go.kr/youths/daejeongtr/index.htm</t>
  </si>
  <si>
    <t>법환동</t>
  </si>
  <si>
    <t>법환청소년문화의집</t>
  </si>
  <si>
    <t>법환마을회</t>
  </si>
  <si>
    <t xml:space="preserve">제주도 서귀포시 막숙포로 70-1(법환동) </t>
  </si>
  <si>
    <t>064-760-4896</t>
  </si>
  <si>
    <t>064-760-4893</t>
  </si>
  <si>
    <t>https://www.seogwipo.go.kr/youths/beophwan/index.htm</t>
  </si>
  <si>
    <t>상예동</t>
  </si>
  <si>
    <t>예래청소년문화의집</t>
  </si>
  <si>
    <t>예래마을회</t>
  </si>
  <si>
    <t>제주도 서귀포시 열리로 80(상예동)</t>
  </si>
  <si>
    <t>064-760-4877</t>
  </si>
  <si>
    <t>064-738-7171</t>
  </si>
  <si>
    <t>http://www.seogwipo.go.kr/youths/yerae/index.htm</t>
  </si>
  <si>
    <t>하효동</t>
  </si>
  <si>
    <t>하효청소년문화의집</t>
  </si>
  <si>
    <t>하효마을회</t>
  </si>
  <si>
    <t>제주도 서귀포시 하효중앙로 132(하효동)</t>
  </si>
  <si>
    <t>064-760-4888~9</t>
  </si>
  <si>
    <t>064-767-2880</t>
  </si>
  <si>
    <t>https://www.seogwipo.go.kr/youths/hahyo/index.htm</t>
  </si>
  <si>
    <t>성산읍</t>
  </si>
  <si>
    <t>모구리야영장</t>
  </si>
  <si>
    <t>제주도 서귀포시 성산읍 서성일로 260</t>
  </si>
  <si>
    <t>064-760-3408</t>
  </si>
  <si>
    <t>064-760-3415</t>
  </si>
  <si>
    <t>http://youth.seogwipo.go.kr</t>
  </si>
  <si>
    <t>색달동</t>
  </si>
  <si>
    <t>하스피아 중문호텔&amp;리조트유스호스텔</t>
  </si>
  <si>
    <t>김완섭</t>
  </si>
  <si>
    <t>㈜ 하스피아</t>
  </si>
  <si>
    <t>제주도 서귀포시 색달중앙로 252번길 50(색달동)</t>
  </si>
  <si>
    <t>064-739-0770</t>
  </si>
  <si>
    <t>064-738-0770</t>
  </si>
  <si>
    <t>http://lavendersjeju.modoo.at/</t>
  </si>
  <si>
    <t>남원읍</t>
  </si>
  <si>
    <t>제주TS유스호스텔</t>
  </si>
  <si>
    <t>신남순</t>
  </si>
  <si>
    <t>제주도 서귀포시 남원읍 남조로861-78</t>
  </si>
  <si>
    <t>064-764-8100</t>
  </si>
  <si>
    <t>064-764-2255</t>
  </si>
  <si>
    <t>https://jejutsus.modoo.at/</t>
  </si>
  <si>
    <t>안덕면</t>
  </si>
  <si>
    <t>아로마리조트제주유스호스텔㈜</t>
  </si>
  <si>
    <t>김지인</t>
  </si>
  <si>
    <t>제주도 서귀포시 안덕면 신화역사로 1097번길 178</t>
  </si>
  <si>
    <t>064-792-8888</t>
  </si>
  <si>
    <t>064-792-3939</t>
  </si>
  <si>
    <t>중문에스피유스호스텔</t>
  </si>
  <si>
    <t>김형자</t>
  </si>
  <si>
    <t>제주도 서귀포시 일주서로 1222(상예동)</t>
  </si>
  <si>
    <t>064-739-2000</t>
  </si>
  <si>
    <t>064-739-2037</t>
  </si>
  <si>
    <t>http://www.spresort.co.kr/</t>
  </si>
  <si>
    <t>하원동</t>
  </si>
  <si>
    <t>용산제주유스호스텔</t>
  </si>
  <si>
    <t>제주도 서귀포시 이어도로 297(하원동)</t>
  </si>
  <si>
    <t>064-738-9502</t>
  </si>
  <si>
    <t>064-738-9505</t>
  </si>
  <si>
    <t>www.yongsanjejuyh.com</t>
  </si>
  <si>
    <t>홍익샤모니유스호스텔</t>
  </si>
  <si>
    <t>정병준</t>
  </si>
  <si>
    <t>제주샤모니유스호스텔</t>
  </si>
  <si>
    <t>제주도 서귀포시 중산간서로68</t>
  </si>
  <si>
    <t>지하1층 지상4층</t>
  </si>
  <si>
    <t>064-739-1200</t>
  </si>
  <si>
    <t>064-739-1220</t>
  </si>
  <si>
    <t>https://blog.naver.com/chamonix55</t>
  </si>
  <si>
    <t xml:space="preserve">중문동 </t>
  </si>
  <si>
    <t>제주부영청소년수련원</t>
  </si>
  <si>
    <t>㈜부영주택</t>
  </si>
  <si>
    <t>제주도 서귀포시 중문상로17번길 52-17</t>
  </si>
  <si>
    <t>지하1층 지상2층</t>
  </si>
  <si>
    <t>064-760-5700</t>
  </si>
  <si>
    <t>064-760-5757</t>
  </si>
  <si>
    <t>www.booyoungyouth.com</t>
  </si>
  <si>
    <t>강정청소년문화의집</t>
  </si>
  <si>
    <t>강정마을회</t>
  </si>
  <si>
    <t>제주도 서귀포시 강정통물로 112(강정동)</t>
  </si>
  <si>
    <t>064-739-0046</t>
  </si>
  <si>
    <t>064-739-0047</t>
  </si>
  <si>
    <t>http://gjycc.sgpyouth.or.kr/</t>
  </si>
  <si>
    <t>제주도 서귀포시 남원읍 남원체육관로 221번길 16</t>
  </si>
  <si>
    <t>지상2층, 지하1층</t>
  </si>
  <si>
    <t>064-760-3403</t>
  </si>
  <si>
    <t>064-760-4189</t>
  </si>
  <si>
    <t>http://nwycc.sgpyouth.or.kr/</t>
  </si>
  <si>
    <t>서귀동</t>
  </si>
  <si>
    <t>서귀포시청소년문화의집</t>
  </si>
  <si>
    <t>사단법인 서귀포YWCA</t>
  </si>
  <si>
    <t>제주도 서귀포시 일주동로 8702 2,3층(서홍동)</t>
  </si>
  <si>
    <t>지상 2,3층</t>
  </si>
  <si>
    <t>064-762-1406</t>
  </si>
  <si>
    <t>064-733-0097</t>
  </si>
  <si>
    <t>http://www.seogwipo.go.kr/youths/seogwipo/index.htm</t>
  </si>
  <si>
    <t>동홍동</t>
  </si>
  <si>
    <t>동홍청소년문화의집</t>
  </si>
  <si>
    <t>제주도 서귀포시 동문로 39(서귀동)</t>
  </si>
  <si>
    <t>064-760-3476</t>
  </si>
  <si>
    <t>064-760-3479</t>
  </si>
  <si>
    <t>http://youth.seogwipo.go.kr:7070/Blog/BLOG_0000000024/Main.mbz</t>
  </si>
  <si>
    <t>송산청소년문화의집</t>
  </si>
  <si>
    <t>제주도 서귀포시 소암로 4</t>
  </si>
  <si>
    <t>064-760-4891</t>
  </si>
  <si>
    <t>064-760-4899</t>
  </si>
  <si>
    <t>http://youth.seogwipo.go.kr/</t>
  </si>
  <si>
    <t>신산청소년문화의집</t>
  </si>
  <si>
    <t>제주도 서귀포시 성산읍 일주동로 5101-1</t>
  </si>
  <si>
    <t>064-760-4296</t>
  </si>
  <si>
    <t>064-760-4299</t>
  </si>
  <si>
    <t>https://www.seogwipo.go.kr/youths/sinsan/index.htm</t>
  </si>
  <si>
    <t>안덕청소년문화의집</t>
  </si>
  <si>
    <t>제주도 서귀포시 안덕면 화순로 56번길 20</t>
  </si>
  <si>
    <t>064-760-4393</t>
  </si>
  <si>
    <t>064-760-4392</t>
  </si>
  <si>
    <t>http://www.seogwipo.go.kr/youths/andeok/index.htm</t>
  </si>
  <si>
    <t>표선면</t>
  </si>
  <si>
    <t>표선청소년문화의집</t>
  </si>
  <si>
    <t>제주도 서귀포시 표선면 표선중앙로 13</t>
  </si>
  <si>
    <t>064-760-4493</t>
  </si>
  <si>
    <t>064-787-6021</t>
  </si>
  <si>
    <t>http://youth.seogwipo.go.kr:7070/Admin/Login.mbz</t>
  </si>
  <si>
    <t>중문청소년문화의집</t>
  </si>
  <si>
    <t>제주 서귀포시 천제연로 185번길 11-1</t>
  </si>
  <si>
    <t>064-760-4871</t>
  </si>
  <si>
    <t>064-760-4879</t>
  </si>
  <si>
    <t>제주시</t>
  </si>
  <si>
    <t>봉개동</t>
  </si>
  <si>
    <t>제주시청소년야영장</t>
  </si>
  <si>
    <t>제주특별자치도(제주시 여성가족과)</t>
  </si>
  <si>
    <t>제주도 제주시 봉개동 234-4</t>
  </si>
  <si>
    <t>지1층, 1층</t>
  </si>
  <si>
    <t>064-728-2603</t>
  </si>
  <si>
    <t>064-728-2579</t>
  </si>
  <si>
    <t>건입동</t>
  </si>
  <si>
    <t>제주시청소년수련관</t>
  </si>
  <si>
    <t>제주도 제주시 사라봉동길 21-1(건입동)</t>
  </si>
  <si>
    <t>064-728-3481</t>
  </si>
  <si>
    <t>064-757-7376</t>
  </si>
  <si>
    <t>https://www.jejusi.go.kr/youth/main.do</t>
  </si>
  <si>
    <t>한림읍</t>
  </si>
  <si>
    <t>성이시돌젊음의집청소년수련원</t>
  </si>
  <si>
    <t>(재)이시돌농촌산업개발협회</t>
  </si>
  <si>
    <t>제주도 제주시 한림읍 금악동2길 25</t>
  </si>
  <si>
    <t>064-796-7711</t>
  </si>
  <si>
    <t>064-796-7713</t>
  </si>
  <si>
    <t>www.youthhome.co.kr</t>
  </si>
  <si>
    <t>명도암유스호스텔</t>
  </si>
  <si>
    <t>제주도 제주시 명림로 393</t>
  </si>
  <si>
    <t xml:space="preserve">조천읍 </t>
  </si>
  <si>
    <t>메이풀하우스유스호스텔</t>
  </si>
  <si>
    <t>㈜메이풀하우스유스호스텔</t>
  </si>
  <si>
    <t>제주도 제주시 조천읍 곱은달서길 165</t>
  </si>
  <si>
    <t>064-784-7823</t>
  </si>
  <si>
    <t>064-784-7824</t>
  </si>
  <si>
    <t>http://www.mayfull.co.kr</t>
  </si>
  <si>
    <t>거문오름유스호스텔</t>
  </si>
  <si>
    <t>조세권</t>
  </si>
  <si>
    <t>제주도 제주시 조천읍 선교로 434-2</t>
  </si>
  <si>
    <t>064-782-9976</t>
  </si>
  <si>
    <t>www.hostel.co.kr</t>
  </si>
  <si>
    <t>고파크유스호스텔</t>
  </si>
  <si>
    <t>고파크주식회사</t>
  </si>
  <si>
    <t>제주도 제주시 조천읍 교래리 786-17번지</t>
  </si>
  <si>
    <t>064-784-0103</t>
  </si>
  <si>
    <t>064-783-0807</t>
  </si>
  <si>
    <t>애월읍</t>
  </si>
  <si>
    <t>뉴코리아유스호스텔</t>
  </si>
  <si>
    <t>한류㈜</t>
  </si>
  <si>
    <t>㈜친자가족호텔</t>
  </si>
  <si>
    <t>제주도 제주시 애월읍 하소로 769-15</t>
  </si>
  <si>
    <t>064-799-7001</t>
  </si>
  <si>
    <t>064-799-7008</t>
  </si>
  <si>
    <t>아르본유스호스텔</t>
  </si>
  <si>
    <t>이형석</t>
  </si>
  <si>
    <t>(유)형석아르본</t>
  </si>
  <si>
    <t>제주도 제주시 애월읍 평화로 2482</t>
  </si>
  <si>
    <t>064-799-0017</t>
  </si>
  <si>
    <t>064-799-0352</t>
  </si>
  <si>
    <t>ww.arbon.co.kr</t>
  </si>
  <si>
    <t>구좌읍</t>
  </si>
  <si>
    <t>비자림청소년수련원</t>
  </si>
  <si>
    <t>제주도 제주시 구좌읍 비자숲길 55</t>
  </si>
  <si>
    <t>지1층,2층</t>
  </si>
  <si>
    <t>제주청소년수련원</t>
  </si>
  <si>
    <t>(사)볼리션청소년진흥회</t>
  </si>
  <si>
    <t>제주도 제주시 한림읍 금능남로 128</t>
  </si>
  <si>
    <t>064-796-0924</t>
  </si>
  <si>
    <t>064-796-0923</t>
  </si>
  <si>
    <t>www.jejuyouthcenter.com</t>
  </si>
  <si>
    <t>제주유스호스텔</t>
  </si>
  <si>
    <t>안성복</t>
  </si>
  <si>
    <t>제주도 제주시 애월읍 방축길 128</t>
  </si>
  <si>
    <t>064-799-1811~2</t>
  </si>
  <si>
    <t>064-796-1812</t>
  </si>
  <si>
    <t>www.jejuyouthhostel.com</t>
  </si>
  <si>
    <t>선흘리 동백동산 에코촌 유스호스텔</t>
  </si>
  <si>
    <t>제주특별자치도(제주시 환경관리과)</t>
  </si>
  <si>
    <t>제주도 제주시 조천읍 북흘리 376-9</t>
  </si>
  <si>
    <t>지하1층,지상2층(관리동)
지상1층(숙박동)</t>
  </si>
  <si>
    <t>064-728-7501</t>
  </si>
  <si>
    <t>064-728-7509</t>
  </si>
  <si>
    <t>www.jejusi.go.kr/ecochon/main.do</t>
  </si>
  <si>
    <t>구좌청소년문화의집</t>
  </si>
  <si>
    <t>제주특별자치도 제주시 구좌읍 세화5길 6-9</t>
  </si>
  <si>
    <t>064-728-7797</t>
  </si>
  <si>
    <t>064-728-7799</t>
  </si>
  <si>
    <t>도남청소년문화의집</t>
  </si>
  <si>
    <t>제주특별자치도 제주시 도남로 12길8(도남동)</t>
  </si>
  <si>
    <t>064-755-7341</t>
  </si>
  <si>
    <t>064-757-7341</t>
  </si>
  <si>
    <t>도평동</t>
  </si>
  <si>
    <t>도평청소년문화의집</t>
  </si>
  <si>
    <t>제주특별자치도 제주시 도평길 22(도평동)</t>
  </si>
  <si>
    <t>064-742-6223</t>
  </si>
  <si>
    <t>064-743-6223</t>
  </si>
  <si>
    <t>아라동</t>
  </si>
  <si>
    <t>아라청소년문화의집</t>
  </si>
  <si>
    <t>인다,아란,대원,구산마을회</t>
  </si>
  <si>
    <t>제주특별자치도 제주시 중앙로 585(아라1동)</t>
  </si>
  <si>
    <t>지상2층~3층(건물일부이용)</t>
  </si>
  <si>
    <t>064-724-0536</t>
  </si>
  <si>
    <t>064-726-0536</t>
  </si>
  <si>
    <t>용담1동</t>
  </si>
  <si>
    <t>용담1청소년문화의집</t>
  </si>
  <si>
    <t>제주특별자치도 제주시 서문로 37-10(용담1동)</t>
  </si>
  <si>
    <t>지상2층(건물일부이용)</t>
  </si>
  <si>
    <t>064-728-7583</t>
  </si>
  <si>
    <t>064-702-9008</t>
  </si>
  <si>
    <t>이도1동</t>
  </si>
  <si>
    <t>이도1청소년문화의집</t>
  </si>
  <si>
    <t>제주특별자치도 제주시 서광로 29길 17(이도1동)</t>
  </si>
  <si>
    <t>지하1층~지상2층(건물일부이용)</t>
  </si>
  <si>
    <t>064-728-3958</t>
  </si>
  <si>
    <t>064-722-7938</t>
  </si>
  <si>
    <t>추자면</t>
  </si>
  <si>
    <t>추자청소년문화의집</t>
  </si>
  <si>
    <t>제주특별자치도 제주시 추자면 대서6길 30</t>
  </si>
  <si>
    <t>064-728-7580</t>
  </si>
  <si>
    <t>064-747-1917</t>
  </si>
  <si>
    <t>화북동</t>
  </si>
  <si>
    <t>화북청소년문화의집</t>
  </si>
  <si>
    <t>제주특별자치도 제주시 진남로 59(화북1동)</t>
  </si>
  <si>
    <t>064-728-7585</t>
  </si>
  <si>
    <t>064-724-9040</t>
  </si>
  <si>
    <t>한림청소년문화의집</t>
  </si>
  <si>
    <t>제주특별자치도 제주시 한림읍 한림상로 134-8</t>
  </si>
  <si>
    <t>064-728-7572</t>
  </si>
  <si>
    <t>064-796-6553</t>
  </si>
  <si>
    <t>애월청소년문화의집</t>
  </si>
  <si>
    <t>제주특별자치도 제주시 일주서로 6331</t>
  </si>
  <si>
    <t>064-728-7575</t>
  </si>
  <si>
    <t>064-799-9657</t>
  </si>
  <si>
    <t>삼도일동</t>
  </si>
  <si>
    <t>삼도일동청소년문화의집</t>
  </si>
  <si>
    <t>(사)청소년과 미래</t>
  </si>
  <si>
    <t>제주특별자치도 제주시 서사로14길 16(삼도일동)</t>
  </si>
  <si>
    <t>064-724-3179</t>
  </si>
  <si>
    <t>www.siyc.or.kr</t>
  </si>
  <si>
    <t>조천읍</t>
  </si>
  <si>
    <t>조천청소년문화의집</t>
  </si>
  <si>
    <t>제주YMCA</t>
  </si>
  <si>
    <t>제주특별자치도 제주시 조천읍 신북로 194-1</t>
  </si>
  <si>
    <t>064-782-7907</t>
  </si>
  <si>
    <t>064-782-7908</t>
  </si>
  <si>
    <t>http://jcyouth.co.kr/</t>
  </si>
  <si>
    <t>노형동</t>
  </si>
  <si>
    <t>노형청소년문화의집</t>
  </si>
  <si>
    <t>제주특별자치도 제주시 정존11길 76(노형동)</t>
  </si>
  <si>
    <t>064-728-7566</t>
  </si>
  <si>
    <t>070-4548-7567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</si>
</sst>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_ "/>
    <numFmt numFmtId="165" formatCode="0.0_ "/>
    <numFmt numFmtId="166" formatCode="#,##0_);[Red]\(#,##0\)"/>
    <numFmt numFmtId="167" formatCode="_-* #,##0_-;\-* #,##0_-;_-* &quot;-&quot;_-;_-@"/>
    <numFmt numFmtId="168" formatCode="_-* #,##0_-;\-* #,##0_-;_-* \-_-;_-@"/>
  </numFmts>
  <fonts count="18">
    <font>
      <sz val="11.0"/>
      <color rgb="FF000000"/>
      <name val="Dotum"/>
      <scheme val="minor"/>
    </font>
    <font>
      <sz val="11.0"/>
      <color theme="1"/>
      <name val="Dotum"/>
    </font>
    <font>
      <b/>
      <sz val="11.0"/>
      <color theme="1"/>
      <name val="Dotum"/>
    </font>
    <font/>
    <font>
      <b/>
      <sz val="11.0"/>
      <color theme="0"/>
      <name val="Malgun Gothic"/>
    </font>
    <font>
      <sz val="11.0"/>
      <color theme="0"/>
      <name val="Malgun Gothic"/>
    </font>
    <font>
      <b/>
      <sz val="11.0"/>
      <color theme="1"/>
      <name val="Malgun Gothic"/>
    </font>
    <font>
      <sz val="11.0"/>
      <color theme="1"/>
      <name val="Malgun Gothic"/>
    </font>
    <font>
      <b/>
      <sz val="9.0"/>
      <color rgb="FF000000"/>
      <name val="한양중고딕"/>
    </font>
    <font>
      <sz val="9.0"/>
      <color rgb="FF000000"/>
      <name val="한양중고딕"/>
    </font>
    <font>
      <b/>
      <sz val="9.0"/>
      <color rgb="FFFF0000"/>
      <name val="한양중고딕"/>
    </font>
    <font>
      <b/>
      <u/>
      <sz val="18.0"/>
      <color theme="1"/>
      <name val="Malgun Gothic"/>
    </font>
    <font>
      <sz val="10.0"/>
      <color theme="1"/>
      <name val="Malgun Gothic"/>
    </font>
    <font>
      <b/>
      <sz val="10.0"/>
      <color theme="1"/>
      <name val="Malgun Gothic"/>
    </font>
    <font>
      <b/>
      <sz val="10.0"/>
      <color rgb="FF3F3F3F"/>
      <name val="Malgun Gothic"/>
    </font>
    <font>
      <strike/>
      <sz val="10.0"/>
      <color theme="1"/>
      <name val="Malgun Gothic"/>
    </font>
    <font>
      <sz val="10.0"/>
      <color rgb="FF000000"/>
      <name val="Malgun Gothic"/>
    </font>
    <font>
      <u/>
      <sz val="10.0"/>
      <color theme="1"/>
      <name val="Malgun Gothic"/>
    </font>
  </fonts>
  <fills count="10">
    <fill>
      <patternFill patternType="none"/>
    </fill>
    <fill>
      <patternFill patternType="lightGray"/>
    </fill>
    <fill>
      <patternFill patternType="solid">
        <fgColor rgb="FFFEC4C4"/>
        <bgColor rgb="FFFEC4C4"/>
      </patternFill>
    </fill>
    <fill>
      <patternFill patternType="solid">
        <fgColor rgb="FF76C7E4"/>
        <bgColor rgb="FF76C7E4"/>
      </patternFill>
    </fill>
    <fill>
      <patternFill patternType="solid">
        <fgColor rgb="FFE8E8E8"/>
        <bgColor rgb="FFE8E8E8"/>
      </patternFill>
    </fill>
    <fill>
      <patternFill patternType="solid">
        <fgColor rgb="FFCBEAF4"/>
        <bgColor rgb="FFCBEAF4"/>
      </patternFill>
    </fill>
    <fill>
      <patternFill patternType="solid">
        <fgColor rgb="FFEADAE0"/>
        <bgColor rgb="FFEADAE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6">
    <border/>
    <border>
      <left/>
      <right/>
      <top/>
      <bottom/>
    </border>
    <border>
      <left/>
      <top/>
      <bottom style="thick">
        <color rgb="FF000000"/>
      </bottom>
    </border>
    <border>
      <right/>
      <top/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/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2" fillId="2" fontId="2" numFmtId="0" xfId="0" applyAlignment="1" applyBorder="1" applyFont="1">
      <alignment horizontal="left" vertical="center"/>
    </xf>
    <xf borderId="3" fillId="0" fontId="3" numFmtId="0" xfId="0" applyAlignment="1" applyBorder="1" applyFont="1">
      <alignment vertical="center"/>
    </xf>
    <xf borderId="4" fillId="3" fontId="4" numFmtId="0" xfId="0" applyAlignment="1" applyBorder="1" applyFill="1" applyFont="1">
      <alignment horizontal="center" shrinkToFit="1" vertical="center" wrapText="0"/>
    </xf>
    <xf borderId="5" fillId="3" fontId="4" numFmtId="0" xfId="0" applyAlignment="1" applyBorder="1" applyFont="1">
      <alignment horizontal="center" shrinkToFit="1" vertical="center" wrapText="0"/>
    </xf>
    <xf borderId="6" fillId="3" fontId="4" numFmtId="0" xfId="0" applyAlignment="1" applyBorder="1" applyFont="1">
      <alignment horizontal="center" shrinkToFit="1" vertical="center" wrapText="0"/>
    </xf>
    <xf borderId="7" fillId="3" fontId="4" numFmtId="0" xfId="0" applyAlignment="1" applyBorder="1" applyFont="1">
      <alignment horizontal="center" shrinkToFit="1" vertical="center" wrapText="0"/>
    </xf>
    <xf borderId="8" fillId="0" fontId="4" numFmtId="0" xfId="0" applyAlignment="1" applyBorder="1" applyFont="1">
      <alignment horizontal="center" shrinkToFit="1" vertical="center" wrapText="0"/>
    </xf>
    <xf borderId="0" fillId="0" fontId="4" numFmtId="0" xfId="0" applyAlignment="1" applyFont="1">
      <alignment horizontal="center" shrinkToFit="1" vertical="center" wrapText="0"/>
    </xf>
    <xf borderId="9" fillId="3" fontId="4" numFmtId="0" xfId="0" applyAlignment="1" applyBorder="1" applyFont="1">
      <alignment horizontal="center" shrinkToFit="0" vertical="center" wrapText="1"/>
    </xf>
    <xf borderId="10" fillId="3" fontId="4" numFmtId="0" xfId="0" applyAlignment="1" applyBorder="1" applyFont="1">
      <alignment horizontal="center" shrinkToFit="0" vertical="center" wrapText="1"/>
    </xf>
    <xf borderId="10" fillId="3" fontId="4" numFmtId="164" xfId="0" applyAlignment="1" applyBorder="1" applyFont="1" applyNumberFormat="1">
      <alignment horizontal="center" shrinkToFit="0" vertical="center" wrapText="1"/>
    </xf>
    <xf borderId="11" fillId="3" fontId="4" numFmtId="164" xfId="0" applyAlignment="1" applyBorder="1" applyFont="1" applyNumberFormat="1">
      <alignment horizontal="center" shrinkToFit="0" vertical="center" wrapText="1"/>
    </xf>
    <xf borderId="12" fillId="3" fontId="4" numFmtId="164" xfId="0" applyAlignment="1" applyBorder="1" applyFont="1" applyNumberFormat="1">
      <alignment horizontal="center" shrinkToFit="0" vertical="center" wrapText="1"/>
    </xf>
    <xf borderId="8" fillId="0" fontId="4" numFmtId="164" xfId="0" applyAlignment="1" applyBorder="1" applyFont="1" applyNumberForma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13" fillId="0" fontId="3" numFmtId="0" xfId="0" applyAlignment="1" applyBorder="1" applyFont="1">
      <alignment vertical="center"/>
    </xf>
    <xf borderId="10" fillId="3" fontId="5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vertical="center"/>
    </xf>
    <xf borderId="9" fillId="4" fontId="6" numFmtId="0" xfId="0" applyAlignment="1" applyBorder="1" applyFill="1" applyFont="1">
      <alignment horizontal="center" shrinkToFit="0" vertical="center" wrapText="1"/>
    </xf>
    <xf borderId="10" fillId="4" fontId="6" numFmtId="0" xfId="0" applyAlignment="1" applyBorder="1" applyFont="1">
      <alignment horizontal="center" shrinkToFit="0" vertical="center" wrapText="1"/>
    </xf>
    <xf borderId="10" fillId="4" fontId="2" numFmtId="164" xfId="0" applyAlignment="1" applyBorder="1" applyFont="1" applyNumberFormat="1">
      <alignment vertical="center"/>
    </xf>
    <xf borderId="10" fillId="4" fontId="2" numFmtId="0" xfId="0" applyAlignment="1" applyBorder="1" applyFont="1">
      <alignment vertical="center"/>
    </xf>
    <xf borderId="11" fillId="4" fontId="1" numFmtId="0" xfId="0" applyAlignment="1" applyBorder="1" applyFont="1">
      <alignment vertical="center"/>
    </xf>
    <xf borderId="12" fillId="4" fontId="1" numFmtId="0" xfId="0" applyAlignment="1" applyBorder="1" applyFont="1">
      <alignment vertical="center"/>
    </xf>
    <xf borderId="8" fillId="0" fontId="1" numFmtId="0" xfId="0" applyAlignment="1" applyBorder="1" applyFont="1">
      <alignment vertical="center"/>
    </xf>
    <xf borderId="10" fillId="0" fontId="7" numFmtId="0" xfId="0" applyAlignment="1" applyBorder="1" applyFont="1">
      <alignment horizontal="center" shrinkToFit="0" vertical="center" wrapText="1"/>
    </xf>
    <xf borderId="10" fillId="0" fontId="2" numFmtId="164" xfId="0" applyAlignment="1" applyBorder="1" applyFont="1" applyNumberFormat="1">
      <alignment vertical="center"/>
    </xf>
    <xf borderId="10" fillId="0" fontId="1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9" fillId="4" fontId="2" numFmtId="0" xfId="0" applyAlignment="1" applyBorder="1" applyFont="1">
      <alignment horizontal="center" vertical="center"/>
    </xf>
    <xf borderId="16" fillId="0" fontId="3" numFmtId="0" xfId="0" applyAlignment="1" applyBorder="1" applyFont="1">
      <alignment vertical="center"/>
    </xf>
    <xf borderId="17" fillId="0" fontId="7" numFmtId="0" xfId="0" applyAlignment="1" applyBorder="1" applyFont="1">
      <alignment horizontal="center" shrinkToFit="0" vertical="center" wrapText="1"/>
    </xf>
    <xf borderId="17" fillId="0" fontId="2" numFmtId="164" xfId="0" applyAlignment="1" applyBorder="1" applyFont="1" applyNumberFormat="1">
      <alignment vertical="center"/>
    </xf>
    <xf borderId="17" fillId="0" fontId="1" numFmtId="0" xfId="0" applyAlignment="1" applyBorder="1" applyFont="1">
      <alignment vertical="center"/>
    </xf>
    <xf borderId="18" fillId="0" fontId="1" numFmtId="0" xfId="0" applyAlignment="1" applyBorder="1" applyFont="1">
      <alignment vertical="center"/>
    </xf>
    <xf borderId="19" fillId="0" fontId="1" numFmtId="0" xfId="0" applyAlignment="1" applyBorder="1" applyFont="1">
      <alignment vertical="center"/>
    </xf>
    <xf borderId="10" fillId="0" fontId="8" numFmtId="0" xfId="0" applyAlignment="1" applyBorder="1" applyFont="1">
      <alignment horizontal="right" shrinkToFit="0" vertical="center" wrapText="1"/>
    </xf>
    <xf borderId="0" fillId="0" fontId="1" numFmtId="165" xfId="0" applyAlignment="1" applyFont="1" applyNumberFormat="1">
      <alignment vertical="center"/>
    </xf>
    <xf borderId="20" fillId="0" fontId="8" numFmtId="3" xfId="0" applyAlignment="1" applyBorder="1" applyFont="1" applyNumberFormat="1">
      <alignment horizontal="right" shrinkToFit="0" vertical="center" wrapText="1"/>
    </xf>
    <xf borderId="10" fillId="0" fontId="9" numFmtId="0" xfId="0" applyAlignment="1" applyBorder="1" applyFont="1">
      <alignment horizontal="right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20" fillId="0" fontId="9" numFmtId="0" xfId="0" applyAlignment="1" applyBorder="1" applyFont="1">
      <alignment horizontal="right" shrinkToFit="0" vertical="center" wrapText="1"/>
    </xf>
    <xf borderId="21" fillId="0" fontId="9" numFmtId="0" xfId="0" applyAlignment="1" applyBorder="1" applyFont="1">
      <alignment horizontal="right" shrinkToFit="0" vertical="center" wrapText="1"/>
    </xf>
    <xf borderId="21" fillId="0" fontId="10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horizontal="right" shrinkToFit="0" vertical="center" wrapText="1"/>
    </xf>
    <xf borderId="23" fillId="5" fontId="11" numFmtId="166" xfId="0" applyAlignment="1" applyBorder="1" applyFill="1" applyFont="1" applyNumberFormat="1">
      <alignment horizontal="center" shrinkToFit="0" vertical="center" wrapText="1"/>
    </xf>
    <xf borderId="24" fillId="0" fontId="3" numFmtId="0" xfId="0" applyAlignment="1" applyBorder="1" applyFont="1">
      <alignment vertical="center"/>
    </xf>
    <xf borderId="25" fillId="0" fontId="3" numFmtId="0" xfId="0" applyAlignment="1" applyBorder="1" applyFont="1">
      <alignment vertical="center"/>
    </xf>
    <xf borderId="0" fillId="0" fontId="12" numFmtId="166" xfId="0" applyAlignment="1" applyFont="1" applyNumberFormat="1">
      <alignment horizontal="center" vertical="center"/>
    </xf>
    <xf borderId="0" fillId="0" fontId="12" numFmtId="38" xfId="0" applyAlignment="1" applyFont="1" applyNumberFormat="1">
      <alignment horizontal="center" vertical="center"/>
    </xf>
    <xf borderId="0" fillId="0" fontId="12" numFmtId="166" xfId="0" applyAlignment="1" applyFont="1" applyNumberFormat="1">
      <alignment horizontal="left" vertical="center"/>
    </xf>
    <xf borderId="0" fillId="0" fontId="13" numFmtId="166" xfId="0" applyAlignment="1" applyFont="1" applyNumberFormat="1">
      <alignment horizontal="right" vertical="center"/>
    </xf>
    <xf borderId="0" fillId="0" fontId="12" numFmtId="166" xfId="0" applyAlignment="1" applyFont="1" applyNumberFormat="1">
      <alignment horizontal="right" vertical="center"/>
    </xf>
    <xf borderId="0" fillId="0" fontId="12" numFmtId="166" xfId="0" applyAlignment="1" applyFont="1" applyNumberFormat="1">
      <alignment horizontal="center" shrinkToFit="1" vertical="center" wrapText="0"/>
    </xf>
    <xf borderId="0" fillId="0" fontId="12" numFmtId="0" xfId="0" applyAlignment="1" applyFont="1">
      <alignment horizontal="center" vertical="center"/>
    </xf>
    <xf borderId="26" fillId="0" fontId="3" numFmtId="0" xfId="0" applyAlignment="1" applyBorder="1" applyFont="1">
      <alignment vertical="center"/>
    </xf>
    <xf borderId="27" fillId="0" fontId="3" numFmtId="0" xfId="0" applyAlignment="1" applyBorder="1" applyFont="1">
      <alignment vertical="center"/>
    </xf>
    <xf borderId="28" fillId="0" fontId="3" numFmtId="0" xfId="0" applyAlignment="1" applyBorder="1" applyFont="1">
      <alignment vertical="center"/>
    </xf>
    <xf borderId="29" fillId="0" fontId="3" numFmtId="0" xfId="0" applyAlignment="1" applyBorder="1" applyFont="1">
      <alignment vertical="center"/>
    </xf>
    <xf borderId="30" fillId="0" fontId="3" numFmtId="0" xfId="0" applyAlignment="1" applyBorder="1" applyFont="1">
      <alignment vertical="center"/>
    </xf>
    <xf borderId="31" fillId="6" fontId="14" numFmtId="166" xfId="0" applyAlignment="1" applyBorder="1" applyFill="1" applyFont="1" applyNumberFormat="1">
      <alignment horizontal="center" vertical="center"/>
    </xf>
    <xf borderId="31" fillId="6" fontId="13" numFmtId="166" xfId="0" applyAlignment="1" applyBorder="1" applyFont="1" applyNumberFormat="1">
      <alignment horizontal="center" shrinkToFit="1" vertical="center" wrapText="0"/>
    </xf>
    <xf borderId="31" fillId="6" fontId="13" numFmtId="166" xfId="0" applyAlignment="1" applyBorder="1" applyFont="1" applyNumberFormat="1">
      <alignment horizontal="left" shrinkToFit="1" vertical="center" wrapText="0"/>
    </xf>
    <xf borderId="31" fillId="6" fontId="13" numFmtId="0" xfId="0" applyAlignment="1" applyBorder="1" applyFont="1">
      <alignment horizontal="center" shrinkToFit="1" vertical="center" wrapText="0"/>
    </xf>
    <xf borderId="15" fillId="6" fontId="13" numFmtId="166" xfId="0" applyAlignment="1" applyBorder="1" applyFont="1" applyNumberFormat="1">
      <alignment horizontal="center" shrinkToFit="1" vertical="center" wrapText="0"/>
    </xf>
    <xf borderId="32" fillId="0" fontId="3" numFmtId="0" xfId="0" applyAlignment="1" applyBorder="1" applyFont="1">
      <alignment vertical="center"/>
    </xf>
    <xf borderId="33" fillId="0" fontId="3" numFmtId="0" xfId="0" applyAlignment="1" applyBorder="1" applyFont="1">
      <alignment vertical="center"/>
    </xf>
    <xf borderId="0" fillId="0" fontId="13" numFmtId="166" xfId="0" applyAlignment="1" applyFont="1" applyNumberFormat="1">
      <alignment horizontal="center" vertical="center"/>
    </xf>
    <xf borderId="34" fillId="0" fontId="3" numFmtId="0" xfId="0" applyAlignment="1" applyBorder="1" applyFont="1">
      <alignment vertical="center"/>
    </xf>
    <xf borderId="35" fillId="0" fontId="3" numFmtId="0" xfId="0" applyAlignment="1" applyBorder="1" applyFont="1">
      <alignment vertical="center"/>
    </xf>
    <xf borderId="10" fillId="6" fontId="13" numFmtId="166" xfId="0" applyAlignment="1" applyBorder="1" applyFont="1" applyNumberFormat="1">
      <alignment horizontal="center" shrinkToFit="1" vertical="center" wrapText="0"/>
    </xf>
    <xf borderId="10" fillId="6" fontId="14" numFmtId="166" xfId="0" applyAlignment="1" applyBorder="1" applyFont="1" applyNumberFormat="1">
      <alignment horizontal="center" shrinkToFit="1" vertical="center" wrapText="0"/>
    </xf>
    <xf borderId="10" fillId="6" fontId="13" numFmtId="166" xfId="0" applyAlignment="1" applyBorder="1" applyFont="1" applyNumberFormat="1">
      <alignment horizontal="left" shrinkToFit="1" vertical="center" wrapText="0"/>
    </xf>
    <xf borderId="10" fillId="6" fontId="13" numFmtId="0" xfId="0" applyAlignment="1" applyBorder="1" applyFont="1">
      <alignment horizontal="center" shrinkToFit="1" vertical="center" wrapText="0"/>
    </xf>
    <xf borderId="10" fillId="0" fontId="12" numFmtId="0" xfId="0" applyAlignment="1" applyBorder="1" applyFont="1">
      <alignment horizontal="center" vertical="center"/>
    </xf>
    <xf borderId="10" fillId="0" fontId="12" numFmtId="166" xfId="0" applyAlignment="1" applyBorder="1" applyFont="1" applyNumberFormat="1">
      <alignment horizontal="center" shrinkToFit="1" vertical="center" wrapText="0"/>
    </xf>
    <xf borderId="10" fillId="0" fontId="12" numFmtId="166" xfId="0" applyAlignment="1" applyBorder="1" applyFont="1" applyNumberFormat="1">
      <alignment horizontal="left" shrinkToFit="1" vertical="center" wrapText="0"/>
    </xf>
    <xf borderId="10" fillId="0" fontId="12" numFmtId="38" xfId="0" applyAlignment="1" applyBorder="1" applyFont="1" applyNumberFormat="1">
      <alignment shrinkToFit="1" vertical="center" wrapText="0"/>
    </xf>
    <xf borderId="10" fillId="7" fontId="12" numFmtId="166" xfId="0" applyAlignment="1" applyBorder="1" applyFill="1" applyFont="1" applyNumberFormat="1">
      <alignment horizontal="right" shrinkToFit="1" vertical="center" wrapText="0"/>
    </xf>
    <xf borderId="10" fillId="0" fontId="12" numFmtId="166" xfId="0" applyAlignment="1" applyBorder="1" applyFont="1" applyNumberFormat="1">
      <alignment horizontal="right" shrinkToFit="1" vertical="center" wrapText="0"/>
    </xf>
    <xf borderId="10" fillId="8" fontId="12" numFmtId="166" xfId="0" applyAlignment="1" applyBorder="1" applyFill="1" applyFont="1" applyNumberFormat="1">
      <alignment horizontal="center" shrinkToFit="1" vertical="center" wrapText="0"/>
    </xf>
    <xf borderId="10" fillId="8" fontId="12" numFmtId="14" xfId="0" applyAlignment="1" applyBorder="1" applyFont="1" applyNumberFormat="1">
      <alignment horizontal="center" shrinkToFit="1" vertical="center" wrapText="0"/>
    </xf>
    <xf borderId="10" fillId="8" fontId="12" numFmtId="0" xfId="0" applyAlignment="1" applyBorder="1" applyFont="1">
      <alignment horizontal="center" vertical="bottom"/>
    </xf>
    <xf borderId="1" fillId="9" fontId="12" numFmtId="0" xfId="0" applyAlignment="1" applyBorder="1" applyFill="1" applyFont="1">
      <alignment vertical="center"/>
    </xf>
    <xf borderId="10" fillId="8" fontId="12" numFmtId="0" xfId="0" applyAlignment="1" applyBorder="1" applyFont="1">
      <alignment horizontal="center" vertical="center"/>
    </xf>
    <xf borderId="10" fillId="0" fontId="12" numFmtId="14" xfId="0" applyAlignment="1" applyBorder="1" applyFont="1" applyNumberFormat="1">
      <alignment horizontal="center" shrinkToFit="1" vertical="center" wrapText="0"/>
    </xf>
    <xf borderId="10" fillId="0" fontId="12" numFmtId="38" xfId="0" applyAlignment="1" applyBorder="1" applyFont="1" applyNumberFormat="1">
      <alignment horizontal="center" shrinkToFit="1" vertical="center" wrapText="0"/>
    </xf>
    <xf borderId="10" fillId="0" fontId="12" numFmtId="38" xfId="0" applyAlignment="1" applyBorder="1" applyFont="1" applyNumberFormat="1">
      <alignment horizontal="left" shrinkToFit="1" vertical="center" wrapText="0"/>
    </xf>
    <xf borderId="10" fillId="0" fontId="12" numFmtId="0" xfId="0" applyAlignment="1" applyBorder="1" applyFont="1">
      <alignment vertical="center"/>
    </xf>
    <xf borderId="10" fillId="0" fontId="12" numFmtId="166" xfId="0" applyAlignment="1" applyBorder="1" applyFont="1" applyNumberFormat="1">
      <alignment horizontal="center" vertical="center"/>
    </xf>
    <xf borderId="10" fillId="0" fontId="12" numFmtId="0" xfId="0" applyAlignment="1" applyBorder="1" applyFont="1">
      <alignment horizontal="center" shrinkToFit="1" vertical="center" wrapText="0"/>
    </xf>
    <xf borderId="10" fillId="0" fontId="12" numFmtId="14" xfId="0" applyAlignment="1" applyBorder="1" applyFont="1" applyNumberFormat="1">
      <alignment horizontal="center" vertical="center"/>
    </xf>
    <xf borderId="10" fillId="0" fontId="12" numFmtId="49" xfId="0" applyAlignment="1" applyBorder="1" applyFont="1" applyNumberFormat="1">
      <alignment horizontal="center" shrinkToFit="1" vertical="center" wrapText="0"/>
    </xf>
    <xf borderId="0" fillId="0" fontId="12" numFmtId="0" xfId="0" applyAlignment="1" applyFont="1">
      <alignment vertical="center"/>
    </xf>
    <xf borderId="1" fillId="9" fontId="12" numFmtId="167" xfId="0" applyAlignment="1" applyBorder="1" applyFont="1" applyNumberFormat="1">
      <alignment vertical="center"/>
    </xf>
    <xf borderId="10" fillId="0" fontId="12" numFmtId="0" xfId="0" applyAlignment="1" applyBorder="1" applyFont="1">
      <alignment horizontal="left" shrinkToFit="1" vertical="center" wrapText="0"/>
    </xf>
    <xf borderId="10" fillId="0" fontId="12" numFmtId="166" xfId="0" applyAlignment="1" applyBorder="1" applyFont="1" applyNumberFormat="1">
      <alignment horizontal="left" vertical="center"/>
    </xf>
    <xf borderId="10" fillId="0" fontId="12" numFmtId="0" xfId="0" applyAlignment="1" applyBorder="1" applyFont="1">
      <alignment horizontal="left" vertical="center"/>
    </xf>
    <xf borderId="1" fillId="9" fontId="15" numFmtId="0" xfId="0" applyAlignment="1" applyBorder="1" applyFont="1">
      <alignment vertical="center"/>
    </xf>
    <xf borderId="1" fillId="8" fontId="12" numFmtId="0" xfId="0" applyAlignment="1" applyBorder="1" applyFont="1">
      <alignment vertical="center"/>
    </xf>
    <xf borderId="1" fillId="9" fontId="13" numFmtId="0" xfId="0" applyAlignment="1" applyBorder="1" applyFont="1">
      <alignment vertical="center"/>
    </xf>
    <xf borderId="10" fillId="0" fontId="12" numFmtId="167" xfId="0" applyAlignment="1" applyBorder="1" applyFont="1" applyNumberFormat="1">
      <alignment horizontal="center" shrinkToFit="1" vertical="center" wrapText="0"/>
    </xf>
    <xf borderId="10" fillId="8" fontId="12" numFmtId="167" xfId="0" applyAlignment="1" applyBorder="1" applyFont="1" applyNumberFormat="1">
      <alignment horizontal="center" shrinkToFit="1" vertical="center" wrapText="0"/>
    </xf>
    <xf borderId="10" fillId="8" fontId="12" numFmtId="167" xfId="0" applyAlignment="1" applyBorder="1" applyFont="1" applyNumberFormat="1">
      <alignment shrinkToFit="1" vertical="center" wrapText="0"/>
    </xf>
    <xf borderId="10" fillId="8" fontId="12" numFmtId="38" xfId="0" applyAlignment="1" applyBorder="1" applyFont="1" applyNumberFormat="1">
      <alignment horizontal="center" shrinkToFit="1" vertical="center" wrapText="0"/>
    </xf>
    <xf borderId="10" fillId="8" fontId="12" numFmtId="0" xfId="0" applyAlignment="1" applyBorder="1" applyFont="1">
      <alignment shrinkToFit="1" vertical="center" wrapText="0"/>
    </xf>
    <xf borderId="10" fillId="8" fontId="12" numFmtId="38" xfId="0" applyAlignment="1" applyBorder="1" applyFont="1" applyNumberFormat="1">
      <alignment shrinkToFit="1" vertical="center" wrapText="0"/>
    </xf>
    <xf borderId="10" fillId="8" fontId="12" numFmtId="0" xfId="0" applyAlignment="1" applyBorder="1" applyFont="1">
      <alignment horizontal="center" shrinkToFit="1" vertical="center" wrapText="0"/>
    </xf>
    <xf borderId="10" fillId="8" fontId="12" numFmtId="0" xfId="0" applyAlignment="1" applyBorder="1" applyFont="1">
      <alignment vertical="center"/>
    </xf>
    <xf borderId="10" fillId="8" fontId="16" numFmtId="167" xfId="0" applyAlignment="1" applyBorder="1" applyFont="1" applyNumberFormat="1">
      <alignment horizontal="center" shrinkToFit="1" vertical="center" wrapText="0"/>
    </xf>
    <xf borderId="10" fillId="8" fontId="16" numFmtId="167" xfId="0" applyAlignment="1" applyBorder="1" applyFont="1" applyNumberFormat="1">
      <alignment shrinkToFit="1" vertical="center" wrapText="0"/>
    </xf>
    <xf borderId="10" fillId="8" fontId="16" numFmtId="38" xfId="0" applyAlignment="1" applyBorder="1" applyFont="1" applyNumberFormat="1">
      <alignment horizontal="center" shrinkToFit="1" vertical="center" wrapText="0"/>
    </xf>
    <xf borderId="10" fillId="8" fontId="16" numFmtId="167" xfId="0" applyAlignment="1" applyBorder="1" applyFont="1" applyNumberFormat="1">
      <alignment horizontal="center" vertical="center"/>
    </xf>
    <xf borderId="10" fillId="8" fontId="16" numFmtId="0" xfId="0" applyAlignment="1" applyBorder="1" applyFont="1">
      <alignment vertical="center"/>
    </xf>
    <xf borderId="10" fillId="8" fontId="12" numFmtId="167" xfId="0" applyAlignment="1" applyBorder="1" applyFont="1" applyNumberFormat="1">
      <alignment horizontal="center" vertical="center"/>
    </xf>
    <xf borderId="10" fillId="8" fontId="12" numFmtId="167" xfId="0" applyAlignment="1" applyBorder="1" applyFont="1" applyNumberFormat="1">
      <alignment horizontal="left" vertical="center"/>
    </xf>
    <xf borderId="10" fillId="8" fontId="16" numFmtId="0" xfId="0" applyAlignment="1" applyBorder="1" applyFont="1">
      <alignment shrinkToFit="1" vertical="center" wrapText="0"/>
    </xf>
    <xf borderId="1" fillId="9" fontId="12" numFmtId="0" xfId="0" applyAlignment="1" applyBorder="1" applyFont="1">
      <alignment horizontal="center" vertical="center"/>
    </xf>
    <xf borderId="0" fillId="0" fontId="12" numFmtId="167" xfId="0" applyAlignment="1" applyFont="1" applyNumberFormat="1">
      <alignment horizontal="center" vertical="center"/>
    </xf>
    <xf borderId="10" fillId="8" fontId="12" numFmtId="167" xfId="0" applyAlignment="1" applyBorder="1" applyFont="1" applyNumberFormat="1">
      <alignment horizontal="left" shrinkToFit="1" vertical="center" wrapText="0"/>
    </xf>
    <xf borderId="10" fillId="0" fontId="17" numFmtId="0" xfId="0" applyAlignment="1" applyBorder="1" applyFont="1">
      <alignment horizontal="center" vertical="center"/>
    </xf>
    <xf borderId="0" fillId="0" fontId="12" numFmtId="167" xfId="0" applyAlignment="1" applyFont="1" applyNumberFormat="1">
      <alignment vertical="center"/>
    </xf>
    <xf borderId="10" fillId="0" fontId="12" numFmtId="0" xfId="0" applyAlignment="1" applyBorder="1" applyFont="1">
      <alignment shrinkToFit="1" vertical="center" wrapText="0"/>
    </xf>
    <xf borderId="10" fillId="0" fontId="12" numFmtId="38" xfId="0" applyAlignment="1" applyBorder="1" applyFont="1" applyNumberFormat="1">
      <alignment horizontal="center" vertical="center"/>
    </xf>
    <xf borderId="10" fillId="0" fontId="12" numFmtId="38" xfId="0" applyAlignment="1" applyBorder="1" applyFont="1" applyNumberFormat="1">
      <alignment horizontal="left" vertical="center"/>
    </xf>
    <xf borderId="0" fillId="0" fontId="15" numFmtId="0" xfId="0" applyAlignment="1" applyFont="1">
      <alignment vertical="center"/>
    </xf>
    <xf borderId="10" fillId="0" fontId="12" numFmtId="166" xfId="0" applyAlignment="1" applyBorder="1" applyFont="1" applyNumberFormat="1">
      <alignment shrinkToFit="1" vertical="center" wrapText="0"/>
    </xf>
    <xf quotePrefix="1" borderId="10" fillId="0" fontId="12" numFmtId="166" xfId="0" applyAlignment="1" applyBorder="1" applyFont="1" applyNumberFormat="1">
      <alignment horizontal="center" shrinkToFit="1" vertical="center" wrapText="0"/>
    </xf>
    <xf borderId="0" fillId="0" fontId="15" numFmtId="0" xfId="0" applyAlignment="1" applyFont="1">
      <alignment horizontal="center" vertical="center"/>
    </xf>
    <xf borderId="10" fillId="8" fontId="12" numFmtId="166" xfId="0" applyAlignment="1" applyBorder="1" applyFont="1" applyNumberFormat="1">
      <alignment shrinkToFit="1" vertical="center" wrapText="0"/>
    </xf>
    <xf borderId="10" fillId="8" fontId="12" numFmtId="38" xfId="0" applyAlignment="1" applyBorder="1" applyFont="1" applyNumberFormat="1">
      <alignment horizontal="left" shrinkToFit="1" vertical="center" wrapText="0"/>
    </xf>
    <xf borderId="10" fillId="0" fontId="12" numFmtId="167" xfId="0" applyAlignment="1" applyBorder="1" applyFont="1" applyNumberFormat="1">
      <alignment horizontal="center" vertical="center"/>
    </xf>
    <xf borderId="10" fillId="0" fontId="12" numFmtId="167" xfId="0" applyAlignment="1" applyBorder="1" applyFont="1" applyNumberFormat="1">
      <alignment horizontal="left" shrinkToFit="1" vertical="center" wrapText="0"/>
    </xf>
    <xf borderId="1" fillId="8" fontId="12" numFmtId="0" xfId="0" applyAlignment="1" applyBorder="1" applyFont="1">
      <alignment horizontal="center" vertical="center"/>
    </xf>
    <xf borderId="10" fillId="0" fontId="12" numFmtId="168" xfId="0" applyAlignment="1" applyBorder="1" applyFont="1" applyNumberFormat="1">
      <alignment horizontal="center" shrinkToFit="1" vertical="center" wrapText="0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7FFF9"/>
      </a:accent1>
      <a:accent2>
        <a:srgbClr val="F5FBFD"/>
      </a:accent2>
      <a:accent3>
        <a:srgbClr val="FFF7F7"/>
      </a:accent3>
      <a:accent4>
        <a:srgbClr val="FDFFF7"/>
      </a:accent4>
      <a:accent5>
        <a:srgbClr val="F3FFEB"/>
      </a:accent5>
      <a:accent6>
        <a:srgbClr val="FFF7FC"/>
      </a:accent6>
      <a:hlink>
        <a:srgbClr val="FFF3EB"/>
      </a:hlink>
      <a:folHlink>
        <a:srgbClr val="FFF3EB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seeyouth.or.kr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8.88"/>
    <col customWidth="1" hidden="1" min="2" max="23" width="8.63"/>
    <col customWidth="1" min="24" max="55" width="8.8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ht="13.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1</v>
      </c>
      <c r="N2" s="1"/>
      <c r="O2" s="1"/>
      <c r="P2" s="1"/>
      <c r="Q2" s="1"/>
      <c r="R2" s="1"/>
      <c r="S2" s="1"/>
      <c r="T2" s="1"/>
      <c r="U2" s="1"/>
      <c r="V2" s="1"/>
      <c r="W2" s="1"/>
      <c r="X2" s="3" t="s">
        <v>2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3" t="s">
        <v>3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4" t="s">
        <v>4</v>
      </c>
      <c r="AU2" s="5"/>
      <c r="AV2" s="1"/>
      <c r="AW2" s="1"/>
      <c r="AX2" s="1"/>
      <c r="AY2" s="1"/>
      <c r="AZ2" s="1"/>
      <c r="BA2" s="1"/>
      <c r="BB2" s="1"/>
      <c r="BC2" s="1"/>
    </row>
    <row r="3" ht="13.5" customHeight="1">
      <c r="A3" s="1"/>
      <c r="B3" s="6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13</v>
      </c>
      <c r="K3" s="8" t="s">
        <v>14</v>
      </c>
      <c r="L3" s="1"/>
      <c r="M3" s="6" t="s">
        <v>15</v>
      </c>
      <c r="N3" s="7" t="s">
        <v>6</v>
      </c>
      <c r="O3" s="7" t="s">
        <v>7</v>
      </c>
      <c r="P3" s="7" t="s">
        <v>8</v>
      </c>
      <c r="Q3" s="7" t="s">
        <v>9</v>
      </c>
      <c r="R3" s="7" t="s">
        <v>10</v>
      </c>
      <c r="S3" s="7" t="s">
        <v>11</v>
      </c>
      <c r="T3" s="7" t="s">
        <v>12</v>
      </c>
      <c r="U3" s="7" t="s">
        <v>13</v>
      </c>
      <c r="V3" s="8" t="s">
        <v>14</v>
      </c>
      <c r="W3" s="1"/>
      <c r="X3" s="6" t="s">
        <v>16</v>
      </c>
      <c r="Y3" s="7" t="s">
        <v>6</v>
      </c>
      <c r="Z3" s="7" t="s">
        <v>7</v>
      </c>
      <c r="AA3" s="7" t="s">
        <v>8</v>
      </c>
      <c r="AB3" s="7" t="s">
        <v>9</v>
      </c>
      <c r="AC3" s="7" t="s">
        <v>10</v>
      </c>
      <c r="AD3" s="7" t="s">
        <v>11</v>
      </c>
      <c r="AE3" s="7" t="s">
        <v>12</v>
      </c>
      <c r="AF3" s="7" t="s">
        <v>13</v>
      </c>
      <c r="AG3" s="9" t="s">
        <v>14</v>
      </c>
      <c r="AH3" s="10"/>
      <c r="AI3" s="6" t="s">
        <v>17</v>
      </c>
      <c r="AJ3" s="7" t="s">
        <v>6</v>
      </c>
      <c r="AK3" s="7" t="s">
        <v>7</v>
      </c>
      <c r="AL3" s="7" t="s">
        <v>8</v>
      </c>
      <c r="AM3" s="7" t="s">
        <v>9</v>
      </c>
      <c r="AN3" s="7" t="s">
        <v>10</v>
      </c>
      <c r="AO3" s="7" t="s">
        <v>11</v>
      </c>
      <c r="AP3" s="7" t="s">
        <v>12</v>
      </c>
      <c r="AQ3" s="7" t="s">
        <v>13</v>
      </c>
      <c r="AR3" s="8" t="s">
        <v>14</v>
      </c>
      <c r="AS3" s="11"/>
      <c r="AT3" s="6" t="s">
        <v>18</v>
      </c>
      <c r="AU3" s="7" t="s">
        <v>6</v>
      </c>
      <c r="AV3" s="7" t="s">
        <v>7</v>
      </c>
      <c r="AW3" s="7" t="s">
        <v>8</v>
      </c>
      <c r="AX3" s="7" t="s">
        <v>9</v>
      </c>
      <c r="AY3" s="7" t="s">
        <v>10</v>
      </c>
      <c r="AZ3" s="7" t="s">
        <v>11</v>
      </c>
      <c r="BA3" s="7" t="s">
        <v>12</v>
      </c>
      <c r="BB3" s="7" t="s">
        <v>13</v>
      </c>
      <c r="BC3" s="8" t="s">
        <v>14</v>
      </c>
    </row>
    <row r="4" ht="13.5" customHeight="1">
      <c r="A4" s="1"/>
      <c r="B4" s="12" t="s">
        <v>19</v>
      </c>
      <c r="C4" s="13" t="s">
        <v>20</v>
      </c>
      <c r="D4" s="14">
        <f t="shared" ref="D4:J4" si="1">D7+D10+D13+D16+D19+D22+D25+D31+D34+D37+D40+D43+D46+D49+D52+D55+D28</f>
        <v>813</v>
      </c>
      <c r="E4" s="14">
        <f t="shared" si="1"/>
        <v>195</v>
      </c>
      <c r="F4" s="14">
        <f t="shared" si="1"/>
        <v>314</v>
      </c>
      <c r="G4" s="14">
        <f t="shared" si="1"/>
        <v>154</v>
      </c>
      <c r="H4" s="14">
        <f t="shared" si="1"/>
        <v>33</v>
      </c>
      <c r="I4" s="14">
        <f t="shared" si="1"/>
        <v>103</v>
      </c>
      <c r="J4" s="14">
        <f t="shared" si="1"/>
        <v>14</v>
      </c>
      <c r="K4" s="15"/>
      <c r="L4" s="1"/>
      <c r="M4" s="12" t="s">
        <v>19</v>
      </c>
      <c r="N4" s="13" t="s">
        <v>20</v>
      </c>
      <c r="O4" s="14">
        <f t="shared" ref="O4:U4" si="2">O7+O10+O13+O16+O19+O22+O25+O31+O34+O37+O40+O43+O46+O49+O52+O55+O28</f>
        <v>837</v>
      </c>
      <c r="P4" s="14">
        <f t="shared" si="2"/>
        <v>198</v>
      </c>
      <c r="Q4" s="14">
        <f t="shared" si="2"/>
        <v>333</v>
      </c>
      <c r="R4" s="14">
        <f t="shared" si="2"/>
        <v>154</v>
      </c>
      <c r="S4" s="14">
        <f t="shared" si="2"/>
        <v>32</v>
      </c>
      <c r="T4" s="14">
        <f t="shared" si="2"/>
        <v>106</v>
      </c>
      <c r="U4" s="14">
        <f t="shared" si="2"/>
        <v>14</v>
      </c>
      <c r="V4" s="15"/>
      <c r="W4" s="1"/>
      <c r="X4" s="12" t="s">
        <v>19</v>
      </c>
      <c r="Y4" s="13" t="s">
        <v>20</v>
      </c>
      <c r="Z4" s="14">
        <f t="shared" ref="Z4:AF4" si="3">Z7+Z10+Z13+Z16+Z19+Z22+Z25+Z31+Z34+Z37+Z40+Z43+Z46+Z49+Z52+Z55+Z28</f>
        <v>850</v>
      </c>
      <c r="AA4" s="14">
        <f t="shared" si="3"/>
        <v>199</v>
      </c>
      <c r="AB4" s="14">
        <f t="shared" si="3"/>
        <v>346</v>
      </c>
      <c r="AC4" s="14">
        <f t="shared" si="3"/>
        <v>151</v>
      </c>
      <c r="AD4" s="14">
        <f t="shared" si="3"/>
        <v>35</v>
      </c>
      <c r="AE4" s="14">
        <f t="shared" si="3"/>
        <v>105</v>
      </c>
      <c r="AF4" s="14">
        <f t="shared" si="3"/>
        <v>14</v>
      </c>
      <c r="AG4" s="16"/>
      <c r="AH4" s="17"/>
      <c r="AI4" s="12" t="s">
        <v>19</v>
      </c>
      <c r="AJ4" s="13" t="s">
        <v>20</v>
      </c>
      <c r="AK4" s="14">
        <f t="shared" ref="AK4:AQ4" si="4">AK7+AK10+AK13+AK16+AK19+AK22+AK25+AK31+AK34+AK37+AK40+AK43+AK46+AK49+AK52+AK55+AK28</f>
        <v>864</v>
      </c>
      <c r="AL4" s="14">
        <f t="shared" si="4"/>
        <v>203</v>
      </c>
      <c r="AM4" s="14">
        <f t="shared" si="4"/>
        <v>363</v>
      </c>
      <c r="AN4" s="14">
        <f t="shared" si="4"/>
        <v>150</v>
      </c>
      <c r="AO4" s="14">
        <f t="shared" si="4"/>
        <v>35</v>
      </c>
      <c r="AP4" s="14">
        <f t="shared" si="4"/>
        <v>99</v>
      </c>
      <c r="AQ4" s="14">
        <f t="shared" si="4"/>
        <v>14</v>
      </c>
      <c r="AR4" s="15"/>
      <c r="AS4" s="18"/>
      <c r="AT4" s="12" t="s">
        <v>19</v>
      </c>
      <c r="AU4" s="13" t="s">
        <v>20</v>
      </c>
      <c r="AV4" s="14">
        <f t="shared" ref="AV4:BB4" si="5">AK4-Z4</f>
        <v>14</v>
      </c>
      <c r="AW4" s="14">
        <f t="shared" si="5"/>
        <v>4</v>
      </c>
      <c r="AX4" s="14">
        <f t="shared" si="5"/>
        <v>17</v>
      </c>
      <c r="AY4" s="14">
        <f t="shared" si="5"/>
        <v>-1</v>
      </c>
      <c r="AZ4" s="14">
        <f t="shared" si="5"/>
        <v>0</v>
      </c>
      <c r="BA4" s="14">
        <f t="shared" si="5"/>
        <v>-6</v>
      </c>
      <c r="BB4" s="14">
        <f t="shared" si="5"/>
        <v>0</v>
      </c>
      <c r="BC4" s="15"/>
    </row>
    <row r="5" ht="13.5" customHeight="1">
      <c r="A5" s="1"/>
      <c r="B5" s="19"/>
      <c r="C5" s="20" t="s">
        <v>21</v>
      </c>
      <c r="D5" s="14">
        <f t="shared" ref="D5:J5" si="6">D8+D11+D14+D17+D20+D23+D26+D32+D35+D38+D41+D44+D47+D50+D53+D56+D29</f>
        <v>622</v>
      </c>
      <c r="E5" s="14">
        <f t="shared" si="6"/>
        <v>193</v>
      </c>
      <c r="F5" s="14">
        <f t="shared" si="6"/>
        <v>310</v>
      </c>
      <c r="G5" s="14">
        <f t="shared" si="6"/>
        <v>62</v>
      </c>
      <c r="H5" s="14">
        <f t="shared" si="6"/>
        <v>19</v>
      </c>
      <c r="I5" s="14">
        <f t="shared" si="6"/>
        <v>25</v>
      </c>
      <c r="J5" s="14">
        <f t="shared" si="6"/>
        <v>13</v>
      </c>
      <c r="K5" s="15"/>
      <c r="L5" s="1"/>
      <c r="M5" s="19"/>
      <c r="N5" s="20" t="s">
        <v>21</v>
      </c>
      <c r="O5" s="14">
        <f t="shared" ref="O5:U5" si="7">O8+O11+O14+O17+O20+O23+O26+O32+O35+O38+O41+O44+O47+O50+O53+O56+O29</f>
        <v>647</v>
      </c>
      <c r="P5" s="14">
        <f t="shared" si="7"/>
        <v>196</v>
      </c>
      <c r="Q5" s="14">
        <f t="shared" si="7"/>
        <v>329</v>
      </c>
      <c r="R5" s="14">
        <f t="shared" si="7"/>
        <v>64</v>
      </c>
      <c r="S5" s="14">
        <f t="shared" si="7"/>
        <v>19</v>
      </c>
      <c r="T5" s="14">
        <f t="shared" si="7"/>
        <v>26</v>
      </c>
      <c r="U5" s="14">
        <f t="shared" si="7"/>
        <v>13</v>
      </c>
      <c r="V5" s="15"/>
      <c r="W5" s="1"/>
      <c r="X5" s="19"/>
      <c r="Y5" s="20" t="s">
        <v>21</v>
      </c>
      <c r="Z5" s="14">
        <f t="shared" ref="Z5:AF5" si="8">Z8+Z11+Z14+Z17+Z20+Z23+Z26+Z32+Z35+Z38+Z41+Z44+Z47+Z50+Z53+Z56+Z29</f>
        <v>663</v>
      </c>
      <c r="AA5" s="14">
        <f t="shared" si="8"/>
        <v>198</v>
      </c>
      <c r="AB5" s="14">
        <f t="shared" si="8"/>
        <v>342</v>
      </c>
      <c r="AC5" s="14">
        <f t="shared" si="8"/>
        <v>64</v>
      </c>
      <c r="AD5" s="14">
        <f t="shared" si="8"/>
        <v>19</v>
      </c>
      <c r="AE5" s="14">
        <f t="shared" si="8"/>
        <v>27</v>
      </c>
      <c r="AF5" s="14">
        <f t="shared" si="8"/>
        <v>13</v>
      </c>
      <c r="AG5" s="16"/>
      <c r="AH5" s="17"/>
      <c r="AI5" s="19"/>
      <c r="AJ5" s="20" t="s">
        <v>21</v>
      </c>
      <c r="AK5" s="14">
        <f t="shared" ref="AK5:AQ5" si="9">AK8+AK11+AK14+AK17+AK20+AK23+AK26+AK32+AK35+AK38+AK41+AK44+AK47+AK50+AK53+AK56+AK29</f>
        <v>685</v>
      </c>
      <c r="AL5" s="14">
        <f t="shared" si="9"/>
        <v>202</v>
      </c>
      <c r="AM5" s="14">
        <f t="shared" si="9"/>
        <v>359</v>
      </c>
      <c r="AN5" s="14">
        <f t="shared" si="9"/>
        <v>64</v>
      </c>
      <c r="AO5" s="14">
        <f t="shared" si="9"/>
        <v>19</v>
      </c>
      <c r="AP5" s="14">
        <f t="shared" si="9"/>
        <v>28</v>
      </c>
      <c r="AQ5" s="14">
        <f t="shared" si="9"/>
        <v>13</v>
      </c>
      <c r="AR5" s="15"/>
      <c r="AS5" s="18"/>
      <c r="AT5" s="19"/>
      <c r="AU5" s="20" t="s">
        <v>21</v>
      </c>
      <c r="AV5" s="14">
        <f t="shared" ref="AV5:BB5" si="10">AK5-Z5</f>
        <v>22</v>
      </c>
      <c r="AW5" s="14">
        <f t="shared" si="10"/>
        <v>4</v>
      </c>
      <c r="AX5" s="14">
        <f t="shared" si="10"/>
        <v>17</v>
      </c>
      <c r="AY5" s="14">
        <f t="shared" si="10"/>
        <v>0</v>
      </c>
      <c r="AZ5" s="14">
        <f t="shared" si="10"/>
        <v>0</v>
      </c>
      <c r="BA5" s="14">
        <f t="shared" si="10"/>
        <v>1</v>
      </c>
      <c r="BB5" s="14">
        <f t="shared" si="10"/>
        <v>0</v>
      </c>
      <c r="BC5" s="15"/>
    </row>
    <row r="6" ht="13.5" customHeight="1">
      <c r="A6" s="1"/>
      <c r="B6" s="21"/>
      <c r="C6" s="20" t="s">
        <v>22</v>
      </c>
      <c r="D6" s="14">
        <f t="shared" ref="D6:J6" si="11">D9+D12+D15+D18+D21+D24+D27+D33+D36+D39+D42+D45+D48+D51+D54+D57+D30</f>
        <v>191</v>
      </c>
      <c r="E6" s="14">
        <f t="shared" si="11"/>
        <v>2</v>
      </c>
      <c r="F6" s="14">
        <f t="shared" si="11"/>
        <v>4</v>
      </c>
      <c r="G6" s="14">
        <f t="shared" si="11"/>
        <v>92</v>
      </c>
      <c r="H6" s="14">
        <f t="shared" si="11"/>
        <v>14</v>
      </c>
      <c r="I6" s="14">
        <f t="shared" si="11"/>
        <v>78</v>
      </c>
      <c r="J6" s="14">
        <f t="shared" si="11"/>
        <v>1</v>
      </c>
      <c r="K6" s="15"/>
      <c r="L6" s="1"/>
      <c r="M6" s="21"/>
      <c r="N6" s="20" t="s">
        <v>22</v>
      </c>
      <c r="O6" s="14">
        <f t="shared" ref="O6:U6" si="12">O9+O12+O15+O18+O21+O24+O27+O33+O36+O39+O42+O45+O48+O51+O54+O57+O30</f>
        <v>190</v>
      </c>
      <c r="P6" s="14">
        <f t="shared" si="12"/>
        <v>2</v>
      </c>
      <c r="Q6" s="14">
        <f t="shared" si="12"/>
        <v>4</v>
      </c>
      <c r="R6" s="14">
        <f t="shared" si="12"/>
        <v>90</v>
      </c>
      <c r="S6" s="14">
        <f t="shared" si="12"/>
        <v>13</v>
      </c>
      <c r="T6" s="14">
        <f t="shared" si="12"/>
        <v>80</v>
      </c>
      <c r="U6" s="14">
        <f t="shared" si="12"/>
        <v>1</v>
      </c>
      <c r="V6" s="15"/>
      <c r="W6" s="1"/>
      <c r="X6" s="21"/>
      <c r="Y6" s="20" t="s">
        <v>22</v>
      </c>
      <c r="Z6" s="14">
        <f t="shared" ref="Z6:AF6" si="13">Z9+Z12+Z15+Z18+Z21+Z24+Z27+Z33+Z36+Z39+Z42+Z45+Z48+Z51+Z54+Z57+Z30</f>
        <v>187</v>
      </c>
      <c r="AA6" s="14">
        <f t="shared" si="13"/>
        <v>1</v>
      </c>
      <c r="AB6" s="14">
        <f t="shared" si="13"/>
        <v>4</v>
      </c>
      <c r="AC6" s="14">
        <f t="shared" si="13"/>
        <v>87</v>
      </c>
      <c r="AD6" s="14">
        <f t="shared" si="13"/>
        <v>16</v>
      </c>
      <c r="AE6" s="14">
        <f t="shared" si="13"/>
        <v>78</v>
      </c>
      <c r="AF6" s="14">
        <f t="shared" si="13"/>
        <v>1</v>
      </c>
      <c r="AG6" s="16"/>
      <c r="AH6" s="17"/>
      <c r="AI6" s="21"/>
      <c r="AJ6" s="20" t="s">
        <v>22</v>
      </c>
      <c r="AK6" s="14">
        <f t="shared" ref="AK6:AQ6" si="14">AK9+AK12+AK15+AK18+AK21+AK24+AK27+AK33+AK36+AK39+AK42+AK45+AK48+AK51+AK54+AK57+AK30</f>
        <v>179</v>
      </c>
      <c r="AL6" s="14">
        <f t="shared" si="14"/>
        <v>1</v>
      </c>
      <c r="AM6" s="14">
        <f t="shared" si="14"/>
        <v>4</v>
      </c>
      <c r="AN6" s="14">
        <f t="shared" si="14"/>
        <v>86</v>
      </c>
      <c r="AO6" s="14">
        <f t="shared" si="14"/>
        <v>16</v>
      </c>
      <c r="AP6" s="14">
        <f t="shared" si="14"/>
        <v>71</v>
      </c>
      <c r="AQ6" s="14">
        <f t="shared" si="14"/>
        <v>1</v>
      </c>
      <c r="AR6" s="15"/>
      <c r="AS6" s="18"/>
      <c r="AT6" s="21"/>
      <c r="AU6" s="20" t="s">
        <v>22</v>
      </c>
      <c r="AV6" s="14">
        <f t="shared" ref="AV6:BB6" si="15">AK6-Z6</f>
        <v>-8</v>
      </c>
      <c r="AW6" s="14">
        <f t="shared" si="15"/>
        <v>0</v>
      </c>
      <c r="AX6" s="14">
        <f t="shared" si="15"/>
        <v>0</v>
      </c>
      <c r="AY6" s="14">
        <f t="shared" si="15"/>
        <v>-1</v>
      </c>
      <c r="AZ6" s="14">
        <f t="shared" si="15"/>
        <v>0</v>
      </c>
      <c r="BA6" s="14">
        <f t="shared" si="15"/>
        <v>-7</v>
      </c>
      <c r="BB6" s="14">
        <f t="shared" si="15"/>
        <v>0</v>
      </c>
      <c r="BC6" s="15"/>
    </row>
    <row r="7" ht="13.5" customHeight="1">
      <c r="A7" s="1"/>
      <c r="B7" s="22" t="s">
        <v>23</v>
      </c>
      <c r="C7" s="23" t="s">
        <v>20</v>
      </c>
      <c r="D7" s="24">
        <f t="shared" ref="D7:D57" si="20">SUM(E7:J7)</f>
        <v>70</v>
      </c>
      <c r="E7" s="25">
        <f t="shared" ref="E7:J7" si="16">SUM(E8:E9)</f>
        <v>32</v>
      </c>
      <c r="F7" s="25">
        <f t="shared" si="16"/>
        <v>23</v>
      </c>
      <c r="G7" s="25">
        <f t="shared" si="16"/>
        <v>3</v>
      </c>
      <c r="H7" s="25">
        <f t="shared" si="16"/>
        <v>0</v>
      </c>
      <c r="I7" s="25">
        <f t="shared" si="16"/>
        <v>4</v>
      </c>
      <c r="J7" s="25">
        <f t="shared" si="16"/>
        <v>8</v>
      </c>
      <c r="K7" s="26"/>
      <c r="L7" s="1"/>
      <c r="M7" s="22" t="s">
        <v>23</v>
      </c>
      <c r="N7" s="23" t="s">
        <v>20</v>
      </c>
      <c r="O7" s="24">
        <f t="shared" ref="O7:O57" si="21">SUM(P7:U7)</f>
        <v>72</v>
      </c>
      <c r="P7" s="25">
        <v>32.0</v>
      </c>
      <c r="Q7" s="25">
        <v>25.0</v>
      </c>
      <c r="R7" s="25">
        <v>3.0</v>
      </c>
      <c r="S7" s="25"/>
      <c r="T7" s="25">
        <v>4.0</v>
      </c>
      <c r="U7" s="25">
        <v>8.0</v>
      </c>
      <c r="V7" s="26"/>
      <c r="W7" s="1"/>
      <c r="X7" s="22" t="s">
        <v>23</v>
      </c>
      <c r="Y7" s="23" t="s">
        <v>20</v>
      </c>
      <c r="Z7" s="24">
        <f t="shared" ref="Z7:Z57" si="22">SUM(AA7:AF7)</f>
        <v>75</v>
      </c>
      <c r="AA7" s="25">
        <f t="shared" ref="AA7:AF7" si="17">SUM(AA8:AA9)</f>
        <v>32</v>
      </c>
      <c r="AB7" s="25">
        <f t="shared" si="17"/>
        <v>28</v>
      </c>
      <c r="AC7" s="25">
        <f t="shared" si="17"/>
        <v>3</v>
      </c>
      <c r="AD7" s="25">
        <f t="shared" si="17"/>
        <v>0</v>
      </c>
      <c r="AE7" s="25">
        <f t="shared" si="17"/>
        <v>4</v>
      </c>
      <c r="AF7" s="25">
        <f t="shared" si="17"/>
        <v>8</v>
      </c>
      <c r="AG7" s="27"/>
      <c r="AH7" s="28"/>
      <c r="AI7" s="22" t="s">
        <v>23</v>
      </c>
      <c r="AJ7" s="23" t="s">
        <v>20</v>
      </c>
      <c r="AK7" s="24">
        <f t="shared" ref="AK7:AK57" si="23">SUM(AL7:AQ7)</f>
        <v>76</v>
      </c>
      <c r="AL7" s="25">
        <f t="shared" ref="AL7:AQ7" si="18">SUM(AL8:AL9)</f>
        <v>32</v>
      </c>
      <c r="AM7" s="25">
        <f t="shared" si="18"/>
        <v>29</v>
      </c>
      <c r="AN7" s="25">
        <f t="shared" si="18"/>
        <v>3</v>
      </c>
      <c r="AO7" s="25">
        <f t="shared" si="18"/>
        <v>0</v>
      </c>
      <c r="AP7" s="25">
        <f t="shared" si="18"/>
        <v>4</v>
      </c>
      <c r="AQ7" s="25">
        <f t="shared" si="18"/>
        <v>8</v>
      </c>
      <c r="AR7" s="26"/>
      <c r="AS7" s="1"/>
      <c r="AT7" s="22" t="s">
        <v>23</v>
      </c>
      <c r="AU7" s="23" t="s">
        <v>20</v>
      </c>
      <c r="AV7" s="24">
        <f t="shared" ref="AV7:BB7" si="19">AK7-Z7</f>
        <v>1</v>
      </c>
      <c r="AW7" s="24">
        <f t="shared" si="19"/>
        <v>0</v>
      </c>
      <c r="AX7" s="24">
        <f t="shared" si="19"/>
        <v>1</v>
      </c>
      <c r="AY7" s="24">
        <f t="shared" si="19"/>
        <v>0</v>
      </c>
      <c r="AZ7" s="24">
        <f t="shared" si="19"/>
        <v>0</v>
      </c>
      <c r="BA7" s="24">
        <f t="shared" si="19"/>
        <v>0</v>
      </c>
      <c r="BB7" s="24">
        <f t="shared" si="19"/>
        <v>0</v>
      </c>
      <c r="BC7" s="26"/>
    </row>
    <row r="8" ht="13.5" customHeight="1">
      <c r="A8" s="1"/>
      <c r="B8" s="19"/>
      <c r="C8" s="29" t="s">
        <v>21</v>
      </c>
      <c r="D8" s="30">
        <f t="shared" si="20"/>
        <v>65</v>
      </c>
      <c r="E8" s="31">
        <v>31.0</v>
      </c>
      <c r="F8" s="31">
        <v>23.0</v>
      </c>
      <c r="G8" s="31">
        <v>1.0</v>
      </c>
      <c r="H8" s="31"/>
      <c r="I8" s="31">
        <v>2.0</v>
      </c>
      <c r="J8" s="31">
        <v>8.0</v>
      </c>
      <c r="K8" s="32"/>
      <c r="L8" s="1"/>
      <c r="M8" s="19"/>
      <c r="N8" s="29" t="s">
        <v>21</v>
      </c>
      <c r="O8" s="30">
        <f t="shared" si="21"/>
        <v>67</v>
      </c>
      <c r="P8" s="31">
        <v>31.0</v>
      </c>
      <c r="Q8" s="31">
        <v>25.0</v>
      </c>
      <c r="R8" s="31">
        <v>1.0</v>
      </c>
      <c r="S8" s="31"/>
      <c r="T8" s="31">
        <v>2.0</v>
      </c>
      <c r="U8" s="31">
        <v>8.0</v>
      </c>
      <c r="V8" s="32"/>
      <c r="W8" s="1"/>
      <c r="X8" s="19"/>
      <c r="Y8" s="29" t="s">
        <v>21</v>
      </c>
      <c r="Z8" s="30">
        <f t="shared" si="22"/>
        <v>71</v>
      </c>
      <c r="AA8" s="31">
        <v>31.0</v>
      </c>
      <c r="AB8" s="31">
        <v>28.0</v>
      </c>
      <c r="AC8" s="31">
        <v>1.0</v>
      </c>
      <c r="AD8" s="31"/>
      <c r="AE8" s="31">
        <v>3.0</v>
      </c>
      <c r="AF8" s="31">
        <v>8.0</v>
      </c>
      <c r="AG8" s="33"/>
      <c r="AH8" s="28"/>
      <c r="AI8" s="19"/>
      <c r="AJ8" s="29" t="s">
        <v>21</v>
      </c>
      <c r="AK8" s="30">
        <f t="shared" si="23"/>
        <v>72</v>
      </c>
      <c r="AL8" s="31">
        <v>31.0</v>
      </c>
      <c r="AM8" s="31">
        <v>29.0</v>
      </c>
      <c r="AN8" s="31">
        <v>1.0</v>
      </c>
      <c r="AO8" s="31"/>
      <c r="AP8" s="31">
        <v>3.0</v>
      </c>
      <c r="AQ8" s="31">
        <v>8.0</v>
      </c>
      <c r="AR8" s="32"/>
      <c r="AS8" s="1"/>
      <c r="AT8" s="19"/>
      <c r="AU8" s="29" t="s">
        <v>21</v>
      </c>
      <c r="AV8" s="30">
        <f t="shared" ref="AV8:BB8" si="24">AK8-Z8</f>
        <v>1</v>
      </c>
      <c r="AW8" s="30">
        <f t="shared" si="24"/>
        <v>0</v>
      </c>
      <c r="AX8" s="30">
        <f t="shared" si="24"/>
        <v>1</v>
      </c>
      <c r="AY8" s="30">
        <f t="shared" si="24"/>
        <v>0</v>
      </c>
      <c r="AZ8" s="30">
        <f t="shared" si="24"/>
        <v>0</v>
      </c>
      <c r="BA8" s="30">
        <f t="shared" si="24"/>
        <v>0</v>
      </c>
      <c r="BB8" s="30">
        <f t="shared" si="24"/>
        <v>0</v>
      </c>
      <c r="BC8" s="32"/>
    </row>
    <row r="9" ht="13.5" customHeight="1">
      <c r="A9" s="1"/>
      <c r="B9" s="21"/>
      <c r="C9" s="29" t="s">
        <v>22</v>
      </c>
      <c r="D9" s="30">
        <f t="shared" si="20"/>
        <v>5</v>
      </c>
      <c r="E9" s="31">
        <v>1.0</v>
      </c>
      <c r="F9" s="31"/>
      <c r="G9" s="31">
        <v>2.0</v>
      </c>
      <c r="H9" s="31"/>
      <c r="I9" s="31">
        <v>2.0</v>
      </c>
      <c r="J9" s="31"/>
      <c r="K9" s="32"/>
      <c r="L9" s="1"/>
      <c r="M9" s="21"/>
      <c r="N9" s="29" t="s">
        <v>22</v>
      </c>
      <c r="O9" s="30">
        <f t="shared" si="21"/>
        <v>5</v>
      </c>
      <c r="P9" s="31">
        <v>1.0</v>
      </c>
      <c r="Q9" s="31"/>
      <c r="R9" s="31">
        <v>2.0</v>
      </c>
      <c r="S9" s="31"/>
      <c r="T9" s="31">
        <v>2.0</v>
      </c>
      <c r="U9" s="31"/>
      <c r="V9" s="32"/>
      <c r="W9" s="1"/>
      <c r="X9" s="21"/>
      <c r="Y9" s="29" t="s">
        <v>22</v>
      </c>
      <c r="Z9" s="30">
        <f t="shared" si="22"/>
        <v>4</v>
      </c>
      <c r="AA9" s="31">
        <v>1.0</v>
      </c>
      <c r="AB9" s="31"/>
      <c r="AC9" s="31">
        <v>2.0</v>
      </c>
      <c r="AD9" s="31"/>
      <c r="AE9" s="31">
        <v>1.0</v>
      </c>
      <c r="AF9" s="31"/>
      <c r="AG9" s="33"/>
      <c r="AH9" s="28"/>
      <c r="AI9" s="21"/>
      <c r="AJ9" s="29" t="s">
        <v>22</v>
      </c>
      <c r="AK9" s="30">
        <f t="shared" si="23"/>
        <v>4</v>
      </c>
      <c r="AL9" s="31">
        <v>1.0</v>
      </c>
      <c r="AM9" s="31"/>
      <c r="AN9" s="31">
        <v>2.0</v>
      </c>
      <c r="AO9" s="31"/>
      <c r="AP9" s="31">
        <v>1.0</v>
      </c>
      <c r="AQ9" s="31"/>
      <c r="AR9" s="32"/>
      <c r="AS9" s="1"/>
      <c r="AT9" s="21"/>
      <c r="AU9" s="29" t="s">
        <v>22</v>
      </c>
      <c r="AV9" s="30">
        <f t="shared" ref="AV9:BB9" si="25">AK9-Z9</f>
        <v>0</v>
      </c>
      <c r="AW9" s="30">
        <f t="shared" si="25"/>
        <v>0</v>
      </c>
      <c r="AX9" s="30">
        <f t="shared" si="25"/>
        <v>0</v>
      </c>
      <c r="AY9" s="30">
        <f t="shared" si="25"/>
        <v>0</v>
      </c>
      <c r="AZ9" s="30">
        <f t="shared" si="25"/>
        <v>0</v>
      </c>
      <c r="BA9" s="30">
        <f t="shared" si="25"/>
        <v>0</v>
      </c>
      <c r="BB9" s="30">
        <f t="shared" si="25"/>
        <v>0</v>
      </c>
      <c r="BC9" s="32"/>
    </row>
    <row r="10" ht="13.5" customHeight="1">
      <c r="A10" s="1"/>
      <c r="B10" s="34" t="s">
        <v>24</v>
      </c>
      <c r="C10" s="23" t="s">
        <v>20</v>
      </c>
      <c r="D10" s="24">
        <f t="shared" si="20"/>
        <v>22</v>
      </c>
      <c r="E10" s="25">
        <f t="shared" ref="E10:J10" si="26">SUM(E11:E12)</f>
        <v>8</v>
      </c>
      <c r="F10" s="25">
        <f t="shared" si="26"/>
        <v>9</v>
      </c>
      <c r="G10" s="25">
        <f t="shared" si="26"/>
        <v>3</v>
      </c>
      <c r="H10" s="25">
        <f t="shared" si="26"/>
        <v>1</v>
      </c>
      <c r="I10" s="25">
        <f t="shared" si="26"/>
        <v>1</v>
      </c>
      <c r="J10" s="25">
        <f t="shared" si="26"/>
        <v>0</v>
      </c>
      <c r="K10" s="26"/>
      <c r="L10" s="1"/>
      <c r="M10" s="34" t="s">
        <v>24</v>
      </c>
      <c r="N10" s="23" t="s">
        <v>20</v>
      </c>
      <c r="O10" s="24">
        <f t="shared" si="21"/>
        <v>25</v>
      </c>
      <c r="P10" s="25">
        <v>8.0</v>
      </c>
      <c r="Q10" s="25">
        <v>11.0</v>
      </c>
      <c r="R10" s="25">
        <v>3.0</v>
      </c>
      <c r="S10" s="25">
        <v>1.0</v>
      </c>
      <c r="T10" s="25">
        <v>2.0</v>
      </c>
      <c r="U10" s="25"/>
      <c r="V10" s="26"/>
      <c r="W10" s="1"/>
      <c r="X10" s="34" t="s">
        <v>24</v>
      </c>
      <c r="Y10" s="23" t="s">
        <v>20</v>
      </c>
      <c r="Z10" s="24">
        <f t="shared" si="22"/>
        <v>26</v>
      </c>
      <c r="AA10" s="25">
        <f t="shared" ref="AA10:AF10" si="27">SUM(AA11:AA12)</f>
        <v>9</v>
      </c>
      <c r="AB10" s="25">
        <f t="shared" si="27"/>
        <v>11</v>
      </c>
      <c r="AC10" s="25">
        <f t="shared" si="27"/>
        <v>3</v>
      </c>
      <c r="AD10" s="25">
        <f t="shared" si="27"/>
        <v>1</v>
      </c>
      <c r="AE10" s="25">
        <f t="shared" si="27"/>
        <v>2</v>
      </c>
      <c r="AF10" s="25">
        <f t="shared" si="27"/>
        <v>0</v>
      </c>
      <c r="AG10" s="27"/>
      <c r="AH10" s="28"/>
      <c r="AI10" s="34" t="s">
        <v>24</v>
      </c>
      <c r="AJ10" s="23" t="s">
        <v>20</v>
      </c>
      <c r="AK10" s="24">
        <f t="shared" si="23"/>
        <v>27</v>
      </c>
      <c r="AL10" s="25">
        <f t="shared" ref="AL10:AQ10" si="28">SUM(AL11:AL12)</f>
        <v>9</v>
      </c>
      <c r="AM10" s="25">
        <f t="shared" si="28"/>
        <v>11</v>
      </c>
      <c r="AN10" s="25">
        <f t="shared" si="28"/>
        <v>4</v>
      </c>
      <c r="AO10" s="25">
        <f t="shared" si="28"/>
        <v>1</v>
      </c>
      <c r="AP10" s="25">
        <f t="shared" si="28"/>
        <v>2</v>
      </c>
      <c r="AQ10" s="25">
        <f t="shared" si="28"/>
        <v>0</v>
      </c>
      <c r="AR10" s="26"/>
      <c r="AS10" s="1"/>
      <c r="AT10" s="34" t="s">
        <v>24</v>
      </c>
      <c r="AU10" s="23" t="s">
        <v>20</v>
      </c>
      <c r="AV10" s="24">
        <f t="shared" ref="AV10:BB10" si="29">AK10-Z10</f>
        <v>1</v>
      </c>
      <c r="AW10" s="24">
        <f t="shared" si="29"/>
        <v>0</v>
      </c>
      <c r="AX10" s="24">
        <f t="shared" si="29"/>
        <v>0</v>
      </c>
      <c r="AY10" s="24">
        <f t="shared" si="29"/>
        <v>1</v>
      </c>
      <c r="AZ10" s="24">
        <f t="shared" si="29"/>
        <v>0</v>
      </c>
      <c r="BA10" s="24">
        <f t="shared" si="29"/>
        <v>0</v>
      </c>
      <c r="BB10" s="24">
        <f t="shared" si="29"/>
        <v>0</v>
      </c>
      <c r="BC10" s="26"/>
    </row>
    <row r="11" ht="13.5" customHeight="1">
      <c r="A11" s="1"/>
      <c r="B11" s="19"/>
      <c r="C11" s="29" t="s">
        <v>21</v>
      </c>
      <c r="D11" s="30">
        <f t="shared" si="20"/>
        <v>19</v>
      </c>
      <c r="E11" s="31">
        <v>8.0</v>
      </c>
      <c r="F11" s="31">
        <v>8.0</v>
      </c>
      <c r="G11" s="31">
        <v>2.0</v>
      </c>
      <c r="H11" s="31">
        <v>1.0</v>
      </c>
      <c r="I11" s="31"/>
      <c r="J11" s="31"/>
      <c r="K11" s="32"/>
      <c r="L11" s="1"/>
      <c r="M11" s="19"/>
      <c r="N11" s="29" t="s">
        <v>21</v>
      </c>
      <c r="O11" s="30">
        <f t="shared" si="21"/>
        <v>21</v>
      </c>
      <c r="P11" s="31">
        <v>8.0</v>
      </c>
      <c r="Q11" s="31">
        <v>10.0</v>
      </c>
      <c r="R11" s="31">
        <v>2.0</v>
      </c>
      <c r="S11" s="31">
        <v>1.0</v>
      </c>
      <c r="T11" s="31"/>
      <c r="U11" s="31"/>
      <c r="V11" s="32"/>
      <c r="W11" s="1"/>
      <c r="X11" s="19"/>
      <c r="Y11" s="29" t="s">
        <v>21</v>
      </c>
      <c r="Z11" s="30">
        <f t="shared" si="22"/>
        <v>22</v>
      </c>
      <c r="AA11" s="31">
        <v>9.0</v>
      </c>
      <c r="AB11" s="31">
        <v>10.0</v>
      </c>
      <c r="AC11" s="31">
        <v>2.0</v>
      </c>
      <c r="AD11" s="31">
        <v>1.0</v>
      </c>
      <c r="AE11" s="31"/>
      <c r="AF11" s="31"/>
      <c r="AG11" s="33"/>
      <c r="AH11" s="28"/>
      <c r="AI11" s="19"/>
      <c r="AJ11" s="29" t="s">
        <v>21</v>
      </c>
      <c r="AK11" s="30">
        <f t="shared" si="23"/>
        <v>23</v>
      </c>
      <c r="AL11" s="31">
        <v>9.0</v>
      </c>
      <c r="AM11" s="31">
        <v>10.0</v>
      </c>
      <c r="AN11" s="31">
        <v>3.0</v>
      </c>
      <c r="AO11" s="31">
        <v>1.0</v>
      </c>
      <c r="AP11" s="31"/>
      <c r="AQ11" s="31"/>
      <c r="AR11" s="32"/>
      <c r="AS11" s="1"/>
      <c r="AT11" s="19"/>
      <c r="AU11" s="29" t="s">
        <v>21</v>
      </c>
      <c r="AV11" s="30">
        <f t="shared" ref="AV11:BB11" si="30">AK11-Z11</f>
        <v>1</v>
      </c>
      <c r="AW11" s="30">
        <f t="shared" si="30"/>
        <v>0</v>
      </c>
      <c r="AX11" s="30">
        <f t="shared" si="30"/>
        <v>0</v>
      </c>
      <c r="AY11" s="30">
        <f t="shared" si="30"/>
        <v>1</v>
      </c>
      <c r="AZ11" s="30">
        <f t="shared" si="30"/>
        <v>0</v>
      </c>
      <c r="BA11" s="30">
        <f t="shared" si="30"/>
        <v>0</v>
      </c>
      <c r="BB11" s="30">
        <f t="shared" si="30"/>
        <v>0</v>
      </c>
      <c r="BC11" s="32"/>
    </row>
    <row r="12" ht="13.5" customHeight="1">
      <c r="A12" s="1"/>
      <c r="B12" s="21"/>
      <c r="C12" s="29" t="s">
        <v>22</v>
      </c>
      <c r="D12" s="30">
        <f t="shared" si="20"/>
        <v>3</v>
      </c>
      <c r="E12" s="31"/>
      <c r="F12" s="31">
        <v>1.0</v>
      </c>
      <c r="G12" s="31">
        <v>1.0</v>
      </c>
      <c r="H12" s="31"/>
      <c r="I12" s="31">
        <v>1.0</v>
      </c>
      <c r="J12" s="31"/>
      <c r="K12" s="32"/>
      <c r="L12" s="1"/>
      <c r="M12" s="21"/>
      <c r="N12" s="29" t="s">
        <v>22</v>
      </c>
      <c r="O12" s="30">
        <f t="shared" si="21"/>
        <v>4</v>
      </c>
      <c r="P12" s="31"/>
      <c r="Q12" s="31">
        <v>1.0</v>
      </c>
      <c r="R12" s="31">
        <v>1.0</v>
      </c>
      <c r="S12" s="31"/>
      <c r="T12" s="31">
        <v>2.0</v>
      </c>
      <c r="U12" s="31"/>
      <c r="V12" s="32"/>
      <c r="W12" s="1"/>
      <c r="X12" s="21"/>
      <c r="Y12" s="29" t="s">
        <v>22</v>
      </c>
      <c r="Z12" s="30">
        <f t="shared" si="22"/>
        <v>4</v>
      </c>
      <c r="AA12" s="31"/>
      <c r="AB12" s="31">
        <v>1.0</v>
      </c>
      <c r="AC12" s="31">
        <v>1.0</v>
      </c>
      <c r="AD12" s="31"/>
      <c r="AE12" s="31">
        <v>2.0</v>
      </c>
      <c r="AF12" s="31"/>
      <c r="AG12" s="33"/>
      <c r="AH12" s="28"/>
      <c r="AI12" s="21"/>
      <c r="AJ12" s="29" t="s">
        <v>22</v>
      </c>
      <c r="AK12" s="30">
        <f t="shared" si="23"/>
        <v>4</v>
      </c>
      <c r="AL12" s="31"/>
      <c r="AM12" s="31">
        <v>1.0</v>
      </c>
      <c r="AN12" s="31">
        <v>1.0</v>
      </c>
      <c r="AO12" s="31"/>
      <c r="AP12" s="31">
        <v>2.0</v>
      </c>
      <c r="AQ12" s="31"/>
      <c r="AR12" s="32"/>
      <c r="AS12" s="1"/>
      <c r="AT12" s="21"/>
      <c r="AU12" s="29" t="s">
        <v>22</v>
      </c>
      <c r="AV12" s="30">
        <f t="shared" ref="AV12:BB12" si="31">AK12-Z12</f>
        <v>0</v>
      </c>
      <c r="AW12" s="30">
        <f t="shared" si="31"/>
        <v>0</v>
      </c>
      <c r="AX12" s="30">
        <f t="shared" si="31"/>
        <v>0</v>
      </c>
      <c r="AY12" s="30">
        <f t="shared" si="31"/>
        <v>0</v>
      </c>
      <c r="AZ12" s="30">
        <f t="shared" si="31"/>
        <v>0</v>
      </c>
      <c r="BA12" s="30">
        <f t="shared" si="31"/>
        <v>0</v>
      </c>
      <c r="BB12" s="30">
        <f t="shared" si="31"/>
        <v>0</v>
      </c>
      <c r="BC12" s="32"/>
    </row>
    <row r="13" ht="13.5" customHeight="1">
      <c r="A13" s="1"/>
      <c r="B13" s="34" t="s">
        <v>25</v>
      </c>
      <c r="C13" s="23" t="s">
        <v>20</v>
      </c>
      <c r="D13" s="24">
        <f t="shared" si="20"/>
        <v>19</v>
      </c>
      <c r="E13" s="25">
        <f t="shared" ref="E13:J13" si="32">SUM(E14:E15)</f>
        <v>5</v>
      </c>
      <c r="F13" s="25">
        <f t="shared" si="32"/>
        <v>8</v>
      </c>
      <c r="G13" s="25">
        <f t="shared" si="32"/>
        <v>2</v>
      </c>
      <c r="H13" s="25">
        <f t="shared" si="32"/>
        <v>0</v>
      </c>
      <c r="I13" s="25">
        <f t="shared" si="32"/>
        <v>2</v>
      </c>
      <c r="J13" s="25">
        <f t="shared" si="32"/>
        <v>2</v>
      </c>
      <c r="K13" s="26"/>
      <c r="L13" s="1"/>
      <c r="M13" s="34" t="s">
        <v>25</v>
      </c>
      <c r="N13" s="23" t="s">
        <v>20</v>
      </c>
      <c r="O13" s="24">
        <f t="shared" si="21"/>
        <v>20</v>
      </c>
      <c r="P13" s="25">
        <v>5.0</v>
      </c>
      <c r="Q13" s="25">
        <v>9.0</v>
      </c>
      <c r="R13" s="25">
        <v>2.0</v>
      </c>
      <c r="S13" s="25"/>
      <c r="T13" s="25">
        <v>2.0</v>
      </c>
      <c r="U13" s="25">
        <v>2.0</v>
      </c>
      <c r="V13" s="26"/>
      <c r="W13" s="1"/>
      <c r="X13" s="34" t="s">
        <v>25</v>
      </c>
      <c r="Y13" s="23" t="s">
        <v>20</v>
      </c>
      <c r="Z13" s="24">
        <f t="shared" si="22"/>
        <v>22</v>
      </c>
      <c r="AA13" s="25">
        <f t="shared" ref="AA13:AF13" si="33">SUM(AA14:AA15)</f>
        <v>5</v>
      </c>
      <c r="AB13" s="25">
        <f t="shared" si="33"/>
        <v>10</v>
      </c>
      <c r="AC13" s="25">
        <f t="shared" si="33"/>
        <v>3</v>
      </c>
      <c r="AD13" s="25">
        <f t="shared" si="33"/>
        <v>0</v>
      </c>
      <c r="AE13" s="25">
        <f t="shared" si="33"/>
        <v>2</v>
      </c>
      <c r="AF13" s="25">
        <f t="shared" si="33"/>
        <v>2</v>
      </c>
      <c r="AG13" s="27"/>
      <c r="AH13" s="28"/>
      <c r="AI13" s="34" t="s">
        <v>25</v>
      </c>
      <c r="AJ13" s="23" t="s">
        <v>20</v>
      </c>
      <c r="AK13" s="24">
        <f t="shared" si="23"/>
        <v>22</v>
      </c>
      <c r="AL13" s="25">
        <f t="shared" ref="AL13:AQ13" si="34">SUM(AL14:AL15)</f>
        <v>5</v>
      </c>
      <c r="AM13" s="25">
        <f t="shared" si="34"/>
        <v>10</v>
      </c>
      <c r="AN13" s="25">
        <f t="shared" si="34"/>
        <v>3</v>
      </c>
      <c r="AO13" s="25">
        <f t="shared" si="34"/>
        <v>0</v>
      </c>
      <c r="AP13" s="25">
        <f t="shared" si="34"/>
        <v>2</v>
      </c>
      <c r="AQ13" s="25">
        <f t="shared" si="34"/>
        <v>2</v>
      </c>
      <c r="AR13" s="26"/>
      <c r="AS13" s="1"/>
      <c r="AT13" s="34" t="s">
        <v>25</v>
      </c>
      <c r="AU13" s="23" t="s">
        <v>20</v>
      </c>
      <c r="AV13" s="24">
        <f t="shared" ref="AV13:BB13" si="35">AK13-Z13</f>
        <v>0</v>
      </c>
      <c r="AW13" s="24">
        <f t="shared" si="35"/>
        <v>0</v>
      </c>
      <c r="AX13" s="24">
        <f t="shared" si="35"/>
        <v>0</v>
      </c>
      <c r="AY13" s="24">
        <f t="shared" si="35"/>
        <v>0</v>
      </c>
      <c r="AZ13" s="24">
        <f t="shared" si="35"/>
        <v>0</v>
      </c>
      <c r="BA13" s="24">
        <f t="shared" si="35"/>
        <v>0</v>
      </c>
      <c r="BB13" s="24">
        <f t="shared" si="35"/>
        <v>0</v>
      </c>
      <c r="BC13" s="26"/>
    </row>
    <row r="14" ht="13.5" customHeight="1">
      <c r="A14" s="1"/>
      <c r="B14" s="19"/>
      <c r="C14" s="29" t="s">
        <v>21</v>
      </c>
      <c r="D14" s="30">
        <f t="shared" si="20"/>
        <v>18</v>
      </c>
      <c r="E14" s="31">
        <v>5.0</v>
      </c>
      <c r="F14" s="31">
        <v>8.0</v>
      </c>
      <c r="G14" s="31">
        <v>2.0</v>
      </c>
      <c r="H14" s="31"/>
      <c r="I14" s="31">
        <v>1.0</v>
      </c>
      <c r="J14" s="31">
        <v>2.0</v>
      </c>
      <c r="K14" s="32"/>
      <c r="L14" s="1"/>
      <c r="M14" s="19"/>
      <c r="N14" s="29" t="s">
        <v>21</v>
      </c>
      <c r="O14" s="30">
        <f t="shared" si="21"/>
        <v>19</v>
      </c>
      <c r="P14" s="31">
        <v>5.0</v>
      </c>
      <c r="Q14" s="31">
        <v>9.0</v>
      </c>
      <c r="R14" s="31">
        <v>2.0</v>
      </c>
      <c r="S14" s="31"/>
      <c r="T14" s="31">
        <v>1.0</v>
      </c>
      <c r="U14" s="31">
        <v>2.0</v>
      </c>
      <c r="V14" s="32"/>
      <c r="W14" s="1"/>
      <c r="X14" s="19"/>
      <c r="Y14" s="29" t="s">
        <v>21</v>
      </c>
      <c r="Z14" s="30">
        <f t="shared" si="22"/>
        <v>21</v>
      </c>
      <c r="AA14" s="31">
        <v>5.0</v>
      </c>
      <c r="AB14" s="31">
        <v>10.0</v>
      </c>
      <c r="AC14" s="31">
        <v>3.0</v>
      </c>
      <c r="AD14" s="31"/>
      <c r="AE14" s="31">
        <v>1.0</v>
      </c>
      <c r="AF14" s="31">
        <v>2.0</v>
      </c>
      <c r="AG14" s="33"/>
      <c r="AH14" s="28"/>
      <c r="AI14" s="19"/>
      <c r="AJ14" s="29" t="s">
        <v>21</v>
      </c>
      <c r="AK14" s="30">
        <f t="shared" si="23"/>
        <v>21</v>
      </c>
      <c r="AL14" s="31">
        <v>5.0</v>
      </c>
      <c r="AM14" s="31">
        <v>10.0</v>
      </c>
      <c r="AN14" s="31">
        <v>3.0</v>
      </c>
      <c r="AO14" s="31"/>
      <c r="AP14" s="31">
        <v>1.0</v>
      </c>
      <c r="AQ14" s="31">
        <v>2.0</v>
      </c>
      <c r="AR14" s="32"/>
      <c r="AS14" s="1"/>
      <c r="AT14" s="19"/>
      <c r="AU14" s="29" t="s">
        <v>21</v>
      </c>
      <c r="AV14" s="30">
        <f t="shared" ref="AV14:BB14" si="36">AK14-Z14</f>
        <v>0</v>
      </c>
      <c r="AW14" s="30">
        <f t="shared" si="36"/>
        <v>0</v>
      </c>
      <c r="AX14" s="30">
        <f t="shared" si="36"/>
        <v>0</v>
      </c>
      <c r="AY14" s="30">
        <f t="shared" si="36"/>
        <v>0</v>
      </c>
      <c r="AZ14" s="30">
        <f t="shared" si="36"/>
        <v>0</v>
      </c>
      <c r="BA14" s="30">
        <f t="shared" si="36"/>
        <v>0</v>
      </c>
      <c r="BB14" s="30">
        <f t="shared" si="36"/>
        <v>0</v>
      </c>
      <c r="BC14" s="32"/>
    </row>
    <row r="15" ht="13.5" customHeight="1">
      <c r="A15" s="1"/>
      <c r="B15" s="21"/>
      <c r="C15" s="29" t="s">
        <v>22</v>
      </c>
      <c r="D15" s="30">
        <f t="shared" si="20"/>
        <v>1</v>
      </c>
      <c r="E15" s="31"/>
      <c r="F15" s="31"/>
      <c r="G15" s="31"/>
      <c r="H15" s="31"/>
      <c r="I15" s="31">
        <v>1.0</v>
      </c>
      <c r="J15" s="31"/>
      <c r="K15" s="32"/>
      <c r="L15" s="1"/>
      <c r="M15" s="21"/>
      <c r="N15" s="29" t="s">
        <v>22</v>
      </c>
      <c r="O15" s="30">
        <f t="shared" si="21"/>
        <v>1</v>
      </c>
      <c r="P15" s="31"/>
      <c r="Q15" s="31"/>
      <c r="R15" s="31"/>
      <c r="S15" s="31"/>
      <c r="T15" s="31">
        <v>1.0</v>
      </c>
      <c r="U15" s="31"/>
      <c r="V15" s="32"/>
      <c r="W15" s="1"/>
      <c r="X15" s="21"/>
      <c r="Y15" s="29" t="s">
        <v>22</v>
      </c>
      <c r="Z15" s="30">
        <f t="shared" si="22"/>
        <v>1</v>
      </c>
      <c r="AA15" s="31"/>
      <c r="AB15" s="31"/>
      <c r="AC15" s="31"/>
      <c r="AD15" s="31"/>
      <c r="AE15" s="31">
        <v>1.0</v>
      </c>
      <c r="AF15" s="31"/>
      <c r="AG15" s="33"/>
      <c r="AH15" s="28"/>
      <c r="AI15" s="21"/>
      <c r="AJ15" s="29" t="s">
        <v>22</v>
      </c>
      <c r="AK15" s="30">
        <f t="shared" si="23"/>
        <v>1</v>
      </c>
      <c r="AL15" s="31"/>
      <c r="AM15" s="31"/>
      <c r="AN15" s="31"/>
      <c r="AO15" s="31"/>
      <c r="AP15" s="31">
        <v>1.0</v>
      </c>
      <c r="AQ15" s="31"/>
      <c r="AR15" s="32"/>
      <c r="AS15" s="1"/>
      <c r="AT15" s="21"/>
      <c r="AU15" s="29" t="s">
        <v>22</v>
      </c>
      <c r="AV15" s="30">
        <f t="shared" ref="AV15:BB15" si="37">AK15-Z15</f>
        <v>0</v>
      </c>
      <c r="AW15" s="30">
        <f t="shared" si="37"/>
        <v>0</v>
      </c>
      <c r="AX15" s="30">
        <f t="shared" si="37"/>
        <v>0</v>
      </c>
      <c r="AY15" s="30">
        <f t="shared" si="37"/>
        <v>0</v>
      </c>
      <c r="AZ15" s="30">
        <f t="shared" si="37"/>
        <v>0</v>
      </c>
      <c r="BA15" s="30">
        <f t="shared" si="37"/>
        <v>0</v>
      </c>
      <c r="BB15" s="30">
        <f t="shared" si="37"/>
        <v>0</v>
      </c>
      <c r="BC15" s="32"/>
    </row>
    <row r="16" ht="13.5" customHeight="1">
      <c r="A16" s="1"/>
      <c r="B16" s="34" t="s">
        <v>26</v>
      </c>
      <c r="C16" s="23" t="s">
        <v>20</v>
      </c>
      <c r="D16" s="24">
        <f t="shared" si="20"/>
        <v>20</v>
      </c>
      <c r="E16" s="25">
        <f t="shared" ref="E16:J16" si="38">SUM(E17:E18)</f>
        <v>8</v>
      </c>
      <c r="F16" s="25">
        <f t="shared" si="38"/>
        <v>6</v>
      </c>
      <c r="G16" s="25">
        <f t="shared" si="38"/>
        <v>2</v>
      </c>
      <c r="H16" s="25">
        <f t="shared" si="38"/>
        <v>0</v>
      </c>
      <c r="I16" s="25">
        <f t="shared" si="38"/>
        <v>4</v>
      </c>
      <c r="J16" s="25">
        <f t="shared" si="38"/>
        <v>0</v>
      </c>
      <c r="K16" s="26"/>
      <c r="L16" s="1"/>
      <c r="M16" s="34" t="s">
        <v>26</v>
      </c>
      <c r="N16" s="23" t="s">
        <v>20</v>
      </c>
      <c r="O16" s="24">
        <f t="shared" si="21"/>
        <v>23</v>
      </c>
      <c r="P16" s="25">
        <v>9.0</v>
      </c>
      <c r="Q16" s="25">
        <v>8.0</v>
      </c>
      <c r="R16" s="25">
        <v>2.0</v>
      </c>
      <c r="S16" s="25"/>
      <c r="T16" s="25">
        <v>4.0</v>
      </c>
      <c r="U16" s="25"/>
      <c r="V16" s="26"/>
      <c r="W16" s="1"/>
      <c r="X16" s="34" t="s">
        <v>26</v>
      </c>
      <c r="Y16" s="23" t="s">
        <v>20</v>
      </c>
      <c r="Z16" s="24">
        <f t="shared" si="22"/>
        <v>22</v>
      </c>
      <c r="AA16" s="25">
        <f t="shared" ref="AA16:AF16" si="39">SUM(AA17:AA18)</f>
        <v>9</v>
      </c>
      <c r="AB16" s="25">
        <f t="shared" si="39"/>
        <v>8</v>
      </c>
      <c r="AC16" s="25">
        <f t="shared" si="39"/>
        <v>2</v>
      </c>
      <c r="AD16" s="25">
        <f t="shared" si="39"/>
        <v>0</v>
      </c>
      <c r="AE16" s="25">
        <f t="shared" si="39"/>
        <v>3</v>
      </c>
      <c r="AF16" s="25">
        <f t="shared" si="39"/>
        <v>0</v>
      </c>
      <c r="AG16" s="27"/>
      <c r="AH16" s="28"/>
      <c r="AI16" s="34" t="s">
        <v>26</v>
      </c>
      <c r="AJ16" s="23" t="s">
        <v>20</v>
      </c>
      <c r="AK16" s="24">
        <f t="shared" si="23"/>
        <v>23</v>
      </c>
      <c r="AL16" s="25">
        <f t="shared" ref="AL16:AQ16" si="40">SUM(AL17:AL18)</f>
        <v>9</v>
      </c>
      <c r="AM16" s="25">
        <f t="shared" si="40"/>
        <v>9</v>
      </c>
      <c r="AN16" s="25">
        <f t="shared" si="40"/>
        <v>2</v>
      </c>
      <c r="AO16" s="25">
        <f t="shared" si="40"/>
        <v>0</v>
      </c>
      <c r="AP16" s="25">
        <f t="shared" si="40"/>
        <v>3</v>
      </c>
      <c r="AQ16" s="25">
        <f t="shared" si="40"/>
        <v>0</v>
      </c>
      <c r="AR16" s="26"/>
      <c r="AS16" s="1"/>
      <c r="AT16" s="34" t="s">
        <v>26</v>
      </c>
      <c r="AU16" s="23" t="s">
        <v>20</v>
      </c>
      <c r="AV16" s="24">
        <f t="shared" ref="AV16:BB16" si="41">AK16-Z16</f>
        <v>1</v>
      </c>
      <c r="AW16" s="24">
        <f t="shared" si="41"/>
        <v>0</v>
      </c>
      <c r="AX16" s="24">
        <f t="shared" si="41"/>
        <v>1</v>
      </c>
      <c r="AY16" s="24">
        <f t="shared" si="41"/>
        <v>0</v>
      </c>
      <c r="AZ16" s="24">
        <f t="shared" si="41"/>
        <v>0</v>
      </c>
      <c r="BA16" s="24">
        <f t="shared" si="41"/>
        <v>0</v>
      </c>
      <c r="BB16" s="24">
        <f t="shared" si="41"/>
        <v>0</v>
      </c>
      <c r="BC16" s="26"/>
    </row>
    <row r="17" ht="13.5" customHeight="1">
      <c r="A17" s="1"/>
      <c r="B17" s="19"/>
      <c r="C17" s="29" t="s">
        <v>21</v>
      </c>
      <c r="D17" s="30">
        <f t="shared" si="20"/>
        <v>14</v>
      </c>
      <c r="E17" s="31">
        <v>8.0</v>
      </c>
      <c r="F17" s="31">
        <v>6.0</v>
      </c>
      <c r="G17" s="31"/>
      <c r="H17" s="31"/>
      <c r="I17" s="31"/>
      <c r="J17" s="31"/>
      <c r="K17" s="32"/>
      <c r="L17" s="1"/>
      <c r="M17" s="19"/>
      <c r="N17" s="29" t="s">
        <v>21</v>
      </c>
      <c r="O17" s="30">
        <f t="shared" si="21"/>
        <v>17</v>
      </c>
      <c r="P17" s="31">
        <v>9.0</v>
      </c>
      <c r="Q17" s="31">
        <v>8.0</v>
      </c>
      <c r="R17" s="31"/>
      <c r="S17" s="31"/>
      <c r="T17" s="31"/>
      <c r="U17" s="31"/>
      <c r="V17" s="32"/>
      <c r="W17" s="1"/>
      <c r="X17" s="19"/>
      <c r="Y17" s="29" t="s">
        <v>21</v>
      </c>
      <c r="Z17" s="30">
        <f t="shared" si="22"/>
        <v>17</v>
      </c>
      <c r="AA17" s="31">
        <v>9.0</v>
      </c>
      <c r="AB17" s="31">
        <v>8.0</v>
      </c>
      <c r="AC17" s="31"/>
      <c r="AD17" s="31"/>
      <c r="AE17" s="31"/>
      <c r="AF17" s="31"/>
      <c r="AG17" s="33"/>
      <c r="AH17" s="28"/>
      <c r="AI17" s="19"/>
      <c r="AJ17" s="29" t="s">
        <v>21</v>
      </c>
      <c r="AK17" s="30">
        <f t="shared" si="23"/>
        <v>18</v>
      </c>
      <c r="AL17" s="31">
        <v>9.0</v>
      </c>
      <c r="AM17" s="31">
        <v>9.0</v>
      </c>
      <c r="AN17" s="31"/>
      <c r="AO17" s="31"/>
      <c r="AP17" s="31"/>
      <c r="AQ17" s="31"/>
      <c r="AR17" s="32"/>
      <c r="AS17" s="1"/>
      <c r="AT17" s="19"/>
      <c r="AU17" s="29" t="s">
        <v>21</v>
      </c>
      <c r="AV17" s="30">
        <f t="shared" ref="AV17:BB17" si="42">AK17-Z17</f>
        <v>1</v>
      </c>
      <c r="AW17" s="30">
        <f t="shared" si="42"/>
        <v>0</v>
      </c>
      <c r="AX17" s="30">
        <f t="shared" si="42"/>
        <v>1</v>
      </c>
      <c r="AY17" s="30">
        <f t="shared" si="42"/>
        <v>0</v>
      </c>
      <c r="AZ17" s="30">
        <f t="shared" si="42"/>
        <v>0</v>
      </c>
      <c r="BA17" s="30">
        <f t="shared" si="42"/>
        <v>0</v>
      </c>
      <c r="BB17" s="30">
        <f t="shared" si="42"/>
        <v>0</v>
      </c>
      <c r="BC17" s="32"/>
    </row>
    <row r="18" ht="13.5" customHeight="1">
      <c r="A18" s="1"/>
      <c r="B18" s="21"/>
      <c r="C18" s="29" t="s">
        <v>22</v>
      </c>
      <c r="D18" s="30">
        <f t="shared" si="20"/>
        <v>6</v>
      </c>
      <c r="E18" s="31"/>
      <c r="F18" s="31"/>
      <c r="G18" s="31">
        <v>2.0</v>
      </c>
      <c r="H18" s="31"/>
      <c r="I18" s="31">
        <v>4.0</v>
      </c>
      <c r="J18" s="31"/>
      <c r="K18" s="32"/>
      <c r="L18" s="1"/>
      <c r="M18" s="21"/>
      <c r="N18" s="29" t="s">
        <v>22</v>
      </c>
      <c r="O18" s="30">
        <f t="shared" si="21"/>
        <v>6</v>
      </c>
      <c r="P18" s="31"/>
      <c r="Q18" s="31"/>
      <c r="R18" s="31">
        <v>2.0</v>
      </c>
      <c r="S18" s="31"/>
      <c r="T18" s="31">
        <v>4.0</v>
      </c>
      <c r="U18" s="31"/>
      <c r="V18" s="32"/>
      <c r="W18" s="1"/>
      <c r="X18" s="21"/>
      <c r="Y18" s="29" t="s">
        <v>22</v>
      </c>
      <c r="Z18" s="30">
        <f t="shared" si="22"/>
        <v>5</v>
      </c>
      <c r="AA18" s="31"/>
      <c r="AB18" s="31"/>
      <c r="AC18" s="31">
        <v>2.0</v>
      </c>
      <c r="AD18" s="31"/>
      <c r="AE18" s="31">
        <v>3.0</v>
      </c>
      <c r="AF18" s="31"/>
      <c r="AG18" s="33"/>
      <c r="AH18" s="28"/>
      <c r="AI18" s="21"/>
      <c r="AJ18" s="29" t="s">
        <v>22</v>
      </c>
      <c r="AK18" s="30">
        <f t="shared" si="23"/>
        <v>5</v>
      </c>
      <c r="AL18" s="31"/>
      <c r="AM18" s="31"/>
      <c r="AN18" s="31">
        <v>2.0</v>
      </c>
      <c r="AO18" s="31"/>
      <c r="AP18" s="31">
        <v>3.0</v>
      </c>
      <c r="AQ18" s="31"/>
      <c r="AR18" s="32"/>
      <c r="AS18" s="1"/>
      <c r="AT18" s="21"/>
      <c r="AU18" s="29" t="s">
        <v>22</v>
      </c>
      <c r="AV18" s="30">
        <f t="shared" ref="AV18:BB18" si="43">AK18-Z18</f>
        <v>0</v>
      </c>
      <c r="AW18" s="30">
        <f t="shared" si="43"/>
        <v>0</v>
      </c>
      <c r="AX18" s="30">
        <f t="shared" si="43"/>
        <v>0</v>
      </c>
      <c r="AY18" s="30">
        <f t="shared" si="43"/>
        <v>0</v>
      </c>
      <c r="AZ18" s="30">
        <f t="shared" si="43"/>
        <v>0</v>
      </c>
      <c r="BA18" s="30">
        <f t="shared" si="43"/>
        <v>0</v>
      </c>
      <c r="BB18" s="30">
        <f t="shared" si="43"/>
        <v>0</v>
      </c>
      <c r="BC18" s="32"/>
    </row>
    <row r="19" ht="13.5" customHeight="1">
      <c r="A19" s="1"/>
      <c r="B19" s="34" t="s">
        <v>27</v>
      </c>
      <c r="C19" s="23" t="s">
        <v>20</v>
      </c>
      <c r="D19" s="24">
        <f t="shared" si="20"/>
        <v>16</v>
      </c>
      <c r="E19" s="25">
        <f t="shared" ref="E19:J19" si="44">SUM(E20:E21)</f>
        <v>5</v>
      </c>
      <c r="F19" s="25">
        <f t="shared" si="44"/>
        <v>9</v>
      </c>
      <c r="G19" s="25">
        <f t="shared" si="44"/>
        <v>1</v>
      </c>
      <c r="H19" s="25">
        <f t="shared" si="44"/>
        <v>0</v>
      </c>
      <c r="I19" s="25">
        <f t="shared" si="44"/>
        <v>0</v>
      </c>
      <c r="J19" s="25">
        <f t="shared" si="44"/>
        <v>1</v>
      </c>
      <c r="K19" s="26"/>
      <c r="L19" s="1"/>
      <c r="M19" s="34" t="s">
        <v>27</v>
      </c>
      <c r="N19" s="23" t="s">
        <v>20</v>
      </c>
      <c r="O19" s="24">
        <f t="shared" si="21"/>
        <v>16</v>
      </c>
      <c r="P19" s="25">
        <v>5.0</v>
      </c>
      <c r="Q19" s="25">
        <v>9.0</v>
      </c>
      <c r="R19" s="25">
        <v>1.0</v>
      </c>
      <c r="S19" s="25"/>
      <c r="T19" s="25"/>
      <c r="U19" s="25">
        <v>1.0</v>
      </c>
      <c r="V19" s="26"/>
      <c r="W19" s="1"/>
      <c r="X19" s="34" t="s">
        <v>27</v>
      </c>
      <c r="Y19" s="23" t="s">
        <v>20</v>
      </c>
      <c r="Z19" s="24">
        <f t="shared" si="22"/>
        <v>18</v>
      </c>
      <c r="AA19" s="25">
        <f t="shared" ref="AA19:AF19" si="45">SUM(AA20:AA21)</f>
        <v>5</v>
      </c>
      <c r="AB19" s="25">
        <f t="shared" si="45"/>
        <v>11</v>
      </c>
      <c r="AC19" s="25">
        <f t="shared" si="45"/>
        <v>1</v>
      </c>
      <c r="AD19" s="25">
        <f t="shared" si="45"/>
        <v>0</v>
      </c>
      <c r="AE19" s="25">
        <f t="shared" si="45"/>
        <v>0</v>
      </c>
      <c r="AF19" s="25">
        <f t="shared" si="45"/>
        <v>1</v>
      </c>
      <c r="AG19" s="27"/>
      <c r="AH19" s="28"/>
      <c r="AI19" s="34" t="s">
        <v>27</v>
      </c>
      <c r="AJ19" s="23" t="s">
        <v>20</v>
      </c>
      <c r="AK19" s="24">
        <f t="shared" si="23"/>
        <v>19</v>
      </c>
      <c r="AL19" s="25">
        <f t="shared" ref="AL19:AQ19" si="46">SUM(AL20:AL21)</f>
        <v>5</v>
      </c>
      <c r="AM19" s="25">
        <f t="shared" si="46"/>
        <v>12</v>
      </c>
      <c r="AN19" s="25">
        <f t="shared" si="46"/>
        <v>1</v>
      </c>
      <c r="AO19" s="25">
        <f t="shared" si="46"/>
        <v>0</v>
      </c>
      <c r="AP19" s="25">
        <f t="shared" si="46"/>
        <v>0</v>
      </c>
      <c r="AQ19" s="25">
        <f t="shared" si="46"/>
        <v>1</v>
      </c>
      <c r="AR19" s="26"/>
      <c r="AS19" s="1"/>
      <c r="AT19" s="34" t="s">
        <v>27</v>
      </c>
      <c r="AU19" s="23" t="s">
        <v>20</v>
      </c>
      <c r="AV19" s="24">
        <f t="shared" ref="AV19:BB19" si="47">AK19-Z19</f>
        <v>1</v>
      </c>
      <c r="AW19" s="24">
        <f t="shared" si="47"/>
        <v>0</v>
      </c>
      <c r="AX19" s="24">
        <f t="shared" si="47"/>
        <v>1</v>
      </c>
      <c r="AY19" s="24">
        <f t="shared" si="47"/>
        <v>0</v>
      </c>
      <c r="AZ19" s="24">
        <f t="shared" si="47"/>
        <v>0</v>
      </c>
      <c r="BA19" s="24">
        <f t="shared" si="47"/>
        <v>0</v>
      </c>
      <c r="BB19" s="24">
        <f t="shared" si="47"/>
        <v>0</v>
      </c>
      <c r="BC19" s="26"/>
    </row>
    <row r="20" ht="13.5" customHeight="1">
      <c r="A20" s="1"/>
      <c r="B20" s="19"/>
      <c r="C20" s="29" t="s">
        <v>21</v>
      </c>
      <c r="D20" s="30">
        <f t="shared" si="20"/>
        <v>15</v>
      </c>
      <c r="E20" s="31">
        <v>5.0</v>
      </c>
      <c r="F20" s="31">
        <v>8.0</v>
      </c>
      <c r="G20" s="31">
        <v>1.0</v>
      </c>
      <c r="H20" s="31"/>
      <c r="I20" s="31"/>
      <c r="J20" s="31">
        <v>1.0</v>
      </c>
      <c r="K20" s="32"/>
      <c r="L20" s="1"/>
      <c r="M20" s="19"/>
      <c r="N20" s="29" t="s">
        <v>21</v>
      </c>
      <c r="O20" s="30">
        <f t="shared" si="21"/>
        <v>15</v>
      </c>
      <c r="P20" s="31">
        <v>5.0</v>
      </c>
      <c r="Q20" s="31">
        <v>8.0</v>
      </c>
      <c r="R20" s="31">
        <v>1.0</v>
      </c>
      <c r="S20" s="31"/>
      <c r="T20" s="31"/>
      <c r="U20" s="31">
        <v>1.0</v>
      </c>
      <c r="V20" s="32"/>
      <c r="W20" s="1"/>
      <c r="X20" s="19"/>
      <c r="Y20" s="29" t="s">
        <v>21</v>
      </c>
      <c r="Z20" s="30">
        <f t="shared" si="22"/>
        <v>17</v>
      </c>
      <c r="AA20" s="31">
        <v>5.0</v>
      </c>
      <c r="AB20" s="31">
        <v>10.0</v>
      </c>
      <c r="AC20" s="31">
        <v>1.0</v>
      </c>
      <c r="AD20" s="31"/>
      <c r="AE20" s="31"/>
      <c r="AF20" s="31">
        <v>1.0</v>
      </c>
      <c r="AG20" s="33"/>
      <c r="AH20" s="28"/>
      <c r="AI20" s="19"/>
      <c r="AJ20" s="29" t="s">
        <v>21</v>
      </c>
      <c r="AK20" s="30">
        <f t="shared" si="23"/>
        <v>18</v>
      </c>
      <c r="AL20" s="31">
        <v>5.0</v>
      </c>
      <c r="AM20" s="31">
        <v>11.0</v>
      </c>
      <c r="AN20" s="31">
        <v>1.0</v>
      </c>
      <c r="AO20" s="31"/>
      <c r="AP20" s="31"/>
      <c r="AQ20" s="31">
        <v>1.0</v>
      </c>
      <c r="AR20" s="32"/>
      <c r="AS20" s="1"/>
      <c r="AT20" s="19"/>
      <c r="AU20" s="29" t="s">
        <v>21</v>
      </c>
      <c r="AV20" s="30">
        <f t="shared" ref="AV20:BB20" si="48">AK20-Z20</f>
        <v>1</v>
      </c>
      <c r="AW20" s="30">
        <f t="shared" si="48"/>
        <v>0</v>
      </c>
      <c r="AX20" s="30">
        <f t="shared" si="48"/>
        <v>1</v>
      </c>
      <c r="AY20" s="30">
        <f t="shared" si="48"/>
        <v>0</v>
      </c>
      <c r="AZ20" s="30">
        <f t="shared" si="48"/>
        <v>0</v>
      </c>
      <c r="BA20" s="30">
        <f t="shared" si="48"/>
        <v>0</v>
      </c>
      <c r="BB20" s="30">
        <f t="shared" si="48"/>
        <v>0</v>
      </c>
      <c r="BC20" s="32"/>
    </row>
    <row r="21" ht="13.5" customHeight="1">
      <c r="A21" s="1"/>
      <c r="B21" s="21"/>
      <c r="C21" s="29" t="s">
        <v>22</v>
      </c>
      <c r="D21" s="30">
        <f t="shared" si="20"/>
        <v>1</v>
      </c>
      <c r="E21" s="31"/>
      <c r="F21" s="31">
        <v>1.0</v>
      </c>
      <c r="G21" s="31"/>
      <c r="H21" s="31"/>
      <c r="I21" s="31"/>
      <c r="J21" s="31"/>
      <c r="K21" s="32"/>
      <c r="L21" s="1"/>
      <c r="M21" s="21"/>
      <c r="N21" s="29" t="s">
        <v>22</v>
      </c>
      <c r="O21" s="30">
        <f t="shared" si="21"/>
        <v>1</v>
      </c>
      <c r="P21" s="31"/>
      <c r="Q21" s="31">
        <v>1.0</v>
      </c>
      <c r="R21" s="31"/>
      <c r="S21" s="31"/>
      <c r="T21" s="31"/>
      <c r="U21" s="31"/>
      <c r="V21" s="32"/>
      <c r="W21" s="1"/>
      <c r="X21" s="21"/>
      <c r="Y21" s="29" t="s">
        <v>22</v>
      </c>
      <c r="Z21" s="30">
        <f t="shared" si="22"/>
        <v>1</v>
      </c>
      <c r="AA21" s="31"/>
      <c r="AB21" s="31">
        <v>1.0</v>
      </c>
      <c r="AC21" s="31"/>
      <c r="AD21" s="31"/>
      <c r="AE21" s="31"/>
      <c r="AF21" s="31"/>
      <c r="AG21" s="33"/>
      <c r="AH21" s="28"/>
      <c r="AI21" s="21"/>
      <c r="AJ21" s="29" t="s">
        <v>22</v>
      </c>
      <c r="AK21" s="30">
        <f t="shared" si="23"/>
        <v>1</v>
      </c>
      <c r="AL21" s="31"/>
      <c r="AM21" s="31">
        <v>1.0</v>
      </c>
      <c r="AN21" s="31"/>
      <c r="AO21" s="31"/>
      <c r="AP21" s="31"/>
      <c r="AQ21" s="31"/>
      <c r="AR21" s="32"/>
      <c r="AS21" s="1"/>
      <c r="AT21" s="21"/>
      <c r="AU21" s="29" t="s">
        <v>22</v>
      </c>
      <c r="AV21" s="30">
        <f t="shared" ref="AV21:BB21" si="49">AK21-Z21</f>
        <v>0</v>
      </c>
      <c r="AW21" s="30">
        <f t="shared" si="49"/>
        <v>0</v>
      </c>
      <c r="AX21" s="30">
        <f t="shared" si="49"/>
        <v>0</v>
      </c>
      <c r="AY21" s="30">
        <f t="shared" si="49"/>
        <v>0</v>
      </c>
      <c r="AZ21" s="30">
        <f t="shared" si="49"/>
        <v>0</v>
      </c>
      <c r="BA21" s="30">
        <f t="shared" si="49"/>
        <v>0</v>
      </c>
      <c r="BB21" s="30">
        <f t="shared" si="49"/>
        <v>0</v>
      </c>
      <c r="BC21" s="32"/>
    </row>
    <row r="22" ht="13.5" customHeight="1">
      <c r="A22" s="1"/>
      <c r="B22" s="34" t="s">
        <v>28</v>
      </c>
      <c r="C22" s="23" t="s">
        <v>20</v>
      </c>
      <c r="D22" s="24">
        <f t="shared" si="20"/>
        <v>14</v>
      </c>
      <c r="E22" s="25">
        <f t="shared" ref="E22:J22" si="50">SUM(E23:E24)</f>
        <v>4</v>
      </c>
      <c r="F22" s="25">
        <f t="shared" si="50"/>
        <v>8</v>
      </c>
      <c r="G22" s="25">
        <f t="shared" si="50"/>
        <v>2</v>
      </c>
      <c r="H22" s="25">
        <f t="shared" si="50"/>
        <v>0</v>
      </c>
      <c r="I22" s="25">
        <f t="shared" si="50"/>
        <v>0</v>
      </c>
      <c r="J22" s="25">
        <f t="shared" si="50"/>
        <v>0</v>
      </c>
      <c r="K22" s="26"/>
      <c r="L22" s="1"/>
      <c r="M22" s="34" t="s">
        <v>28</v>
      </c>
      <c r="N22" s="23" t="s">
        <v>20</v>
      </c>
      <c r="O22" s="24">
        <f t="shared" si="21"/>
        <v>15</v>
      </c>
      <c r="P22" s="25">
        <v>4.0</v>
      </c>
      <c r="Q22" s="25">
        <v>9.0</v>
      </c>
      <c r="R22" s="25">
        <v>2.0</v>
      </c>
      <c r="S22" s="25"/>
      <c r="T22" s="25"/>
      <c r="U22" s="25"/>
      <c r="V22" s="26"/>
      <c r="W22" s="1"/>
      <c r="X22" s="34" t="s">
        <v>28</v>
      </c>
      <c r="Y22" s="23" t="s">
        <v>20</v>
      </c>
      <c r="Z22" s="24">
        <f t="shared" si="22"/>
        <v>15</v>
      </c>
      <c r="AA22" s="25">
        <f t="shared" ref="AA22:AF22" si="51">SUM(AA23:AA24)</f>
        <v>4</v>
      </c>
      <c r="AB22" s="25">
        <f t="shared" si="51"/>
        <v>9</v>
      </c>
      <c r="AC22" s="25">
        <f t="shared" si="51"/>
        <v>2</v>
      </c>
      <c r="AD22" s="25">
        <f t="shared" si="51"/>
        <v>0</v>
      </c>
      <c r="AE22" s="25">
        <f t="shared" si="51"/>
        <v>0</v>
      </c>
      <c r="AF22" s="25">
        <f t="shared" si="51"/>
        <v>0</v>
      </c>
      <c r="AG22" s="27"/>
      <c r="AH22" s="28"/>
      <c r="AI22" s="34" t="s">
        <v>28</v>
      </c>
      <c r="AJ22" s="23" t="s">
        <v>20</v>
      </c>
      <c r="AK22" s="24">
        <f t="shared" si="23"/>
        <v>15</v>
      </c>
      <c r="AL22" s="25">
        <f t="shared" ref="AL22:AQ22" si="52">SUM(AL23:AL24)</f>
        <v>4</v>
      </c>
      <c r="AM22" s="25">
        <f t="shared" si="52"/>
        <v>9</v>
      </c>
      <c r="AN22" s="25">
        <f t="shared" si="52"/>
        <v>2</v>
      </c>
      <c r="AO22" s="25">
        <f t="shared" si="52"/>
        <v>0</v>
      </c>
      <c r="AP22" s="25">
        <f t="shared" si="52"/>
        <v>0</v>
      </c>
      <c r="AQ22" s="25">
        <f t="shared" si="52"/>
        <v>0</v>
      </c>
      <c r="AR22" s="26"/>
      <c r="AS22" s="1"/>
      <c r="AT22" s="34" t="s">
        <v>28</v>
      </c>
      <c r="AU22" s="23" t="s">
        <v>20</v>
      </c>
      <c r="AV22" s="24">
        <f t="shared" ref="AV22:BB22" si="53">AK22-Z22</f>
        <v>0</v>
      </c>
      <c r="AW22" s="24">
        <f t="shared" si="53"/>
        <v>0</v>
      </c>
      <c r="AX22" s="24">
        <f t="shared" si="53"/>
        <v>0</v>
      </c>
      <c r="AY22" s="24">
        <f t="shared" si="53"/>
        <v>0</v>
      </c>
      <c r="AZ22" s="24">
        <f t="shared" si="53"/>
        <v>0</v>
      </c>
      <c r="BA22" s="24">
        <f t="shared" si="53"/>
        <v>0</v>
      </c>
      <c r="BB22" s="24">
        <f t="shared" si="53"/>
        <v>0</v>
      </c>
      <c r="BC22" s="26"/>
    </row>
    <row r="23" ht="13.5" customHeight="1">
      <c r="A23" s="1"/>
      <c r="B23" s="19"/>
      <c r="C23" s="29" t="s">
        <v>21</v>
      </c>
      <c r="D23" s="30">
        <f t="shared" si="20"/>
        <v>14</v>
      </c>
      <c r="E23" s="31">
        <v>4.0</v>
      </c>
      <c r="F23" s="31">
        <v>8.0</v>
      </c>
      <c r="G23" s="31">
        <v>2.0</v>
      </c>
      <c r="H23" s="31"/>
      <c r="I23" s="31"/>
      <c r="J23" s="31"/>
      <c r="K23" s="32"/>
      <c r="L23" s="1"/>
      <c r="M23" s="19"/>
      <c r="N23" s="29" t="s">
        <v>21</v>
      </c>
      <c r="O23" s="30">
        <f t="shared" si="21"/>
        <v>15</v>
      </c>
      <c r="P23" s="31">
        <v>4.0</v>
      </c>
      <c r="Q23" s="31">
        <v>9.0</v>
      </c>
      <c r="R23" s="31">
        <v>2.0</v>
      </c>
      <c r="S23" s="31"/>
      <c r="T23" s="31"/>
      <c r="U23" s="31"/>
      <c r="V23" s="32"/>
      <c r="W23" s="1"/>
      <c r="X23" s="19"/>
      <c r="Y23" s="29" t="s">
        <v>21</v>
      </c>
      <c r="Z23" s="30">
        <f t="shared" si="22"/>
        <v>15</v>
      </c>
      <c r="AA23" s="31">
        <v>4.0</v>
      </c>
      <c r="AB23" s="31">
        <v>9.0</v>
      </c>
      <c r="AC23" s="31">
        <v>2.0</v>
      </c>
      <c r="AD23" s="31"/>
      <c r="AE23" s="31"/>
      <c r="AF23" s="31"/>
      <c r="AG23" s="33"/>
      <c r="AH23" s="28"/>
      <c r="AI23" s="19"/>
      <c r="AJ23" s="29" t="s">
        <v>21</v>
      </c>
      <c r="AK23" s="30">
        <f t="shared" si="23"/>
        <v>15</v>
      </c>
      <c r="AL23" s="31">
        <v>4.0</v>
      </c>
      <c r="AM23" s="31">
        <v>9.0</v>
      </c>
      <c r="AN23" s="31">
        <v>2.0</v>
      </c>
      <c r="AO23" s="31"/>
      <c r="AP23" s="31"/>
      <c r="AQ23" s="31"/>
      <c r="AR23" s="32"/>
      <c r="AS23" s="1"/>
      <c r="AT23" s="19"/>
      <c r="AU23" s="29" t="s">
        <v>21</v>
      </c>
      <c r="AV23" s="30">
        <f t="shared" ref="AV23:BB23" si="54">AK23-Z23</f>
        <v>0</v>
      </c>
      <c r="AW23" s="30">
        <f t="shared" si="54"/>
        <v>0</v>
      </c>
      <c r="AX23" s="30">
        <f t="shared" si="54"/>
        <v>0</v>
      </c>
      <c r="AY23" s="30">
        <f t="shared" si="54"/>
        <v>0</v>
      </c>
      <c r="AZ23" s="30">
        <f t="shared" si="54"/>
        <v>0</v>
      </c>
      <c r="BA23" s="30">
        <f t="shared" si="54"/>
        <v>0</v>
      </c>
      <c r="BB23" s="30">
        <f t="shared" si="54"/>
        <v>0</v>
      </c>
      <c r="BC23" s="32"/>
    </row>
    <row r="24" ht="13.5" customHeight="1">
      <c r="A24" s="1"/>
      <c r="B24" s="21"/>
      <c r="C24" s="29" t="s">
        <v>22</v>
      </c>
      <c r="D24" s="30">
        <f t="shared" si="20"/>
        <v>0</v>
      </c>
      <c r="E24" s="31"/>
      <c r="F24" s="31"/>
      <c r="G24" s="31"/>
      <c r="H24" s="31"/>
      <c r="I24" s="31"/>
      <c r="J24" s="31"/>
      <c r="K24" s="32"/>
      <c r="L24" s="1"/>
      <c r="M24" s="21"/>
      <c r="N24" s="29" t="s">
        <v>22</v>
      </c>
      <c r="O24" s="30">
        <f t="shared" si="21"/>
        <v>0</v>
      </c>
      <c r="P24" s="31"/>
      <c r="Q24" s="31"/>
      <c r="R24" s="31"/>
      <c r="S24" s="31"/>
      <c r="T24" s="31"/>
      <c r="U24" s="31"/>
      <c r="V24" s="32"/>
      <c r="W24" s="1"/>
      <c r="X24" s="21"/>
      <c r="Y24" s="29" t="s">
        <v>22</v>
      </c>
      <c r="Z24" s="30">
        <f t="shared" si="22"/>
        <v>0</v>
      </c>
      <c r="AA24" s="31"/>
      <c r="AB24" s="31"/>
      <c r="AC24" s="31"/>
      <c r="AD24" s="31"/>
      <c r="AE24" s="31"/>
      <c r="AF24" s="31"/>
      <c r="AG24" s="33"/>
      <c r="AH24" s="28"/>
      <c r="AI24" s="21"/>
      <c r="AJ24" s="29" t="s">
        <v>22</v>
      </c>
      <c r="AK24" s="30">
        <f t="shared" si="23"/>
        <v>0</v>
      </c>
      <c r="AL24" s="31"/>
      <c r="AM24" s="31"/>
      <c r="AN24" s="31"/>
      <c r="AO24" s="31"/>
      <c r="AP24" s="31"/>
      <c r="AQ24" s="31"/>
      <c r="AR24" s="32"/>
      <c r="AS24" s="1"/>
      <c r="AT24" s="21"/>
      <c r="AU24" s="29" t="s">
        <v>22</v>
      </c>
      <c r="AV24" s="30">
        <f t="shared" ref="AV24:BB24" si="55">AK24-Z24</f>
        <v>0</v>
      </c>
      <c r="AW24" s="30">
        <f t="shared" si="55"/>
        <v>0</v>
      </c>
      <c r="AX24" s="30">
        <f t="shared" si="55"/>
        <v>0</v>
      </c>
      <c r="AY24" s="30">
        <f t="shared" si="55"/>
        <v>0</v>
      </c>
      <c r="AZ24" s="30">
        <f t="shared" si="55"/>
        <v>0</v>
      </c>
      <c r="BA24" s="30">
        <f t="shared" si="55"/>
        <v>0</v>
      </c>
      <c r="BB24" s="30">
        <f t="shared" si="55"/>
        <v>0</v>
      </c>
      <c r="BC24" s="32"/>
    </row>
    <row r="25" ht="13.5" customHeight="1">
      <c r="A25" s="1"/>
      <c r="B25" s="34" t="s">
        <v>29</v>
      </c>
      <c r="C25" s="23" t="s">
        <v>20</v>
      </c>
      <c r="D25" s="24">
        <f t="shared" si="20"/>
        <v>12</v>
      </c>
      <c r="E25" s="25">
        <f t="shared" ref="E25:J25" si="56">SUM(E26:E27)</f>
        <v>3</v>
      </c>
      <c r="F25" s="25">
        <f t="shared" si="56"/>
        <v>7</v>
      </c>
      <c r="G25" s="25">
        <f t="shared" si="56"/>
        <v>1</v>
      </c>
      <c r="H25" s="25">
        <f t="shared" si="56"/>
        <v>1</v>
      </c>
      <c r="I25" s="25">
        <f t="shared" si="56"/>
        <v>0</v>
      </c>
      <c r="J25" s="25">
        <f t="shared" si="56"/>
        <v>0</v>
      </c>
      <c r="K25" s="26"/>
      <c r="L25" s="1"/>
      <c r="M25" s="34" t="s">
        <v>29</v>
      </c>
      <c r="N25" s="23" t="s">
        <v>20</v>
      </c>
      <c r="O25" s="24">
        <f t="shared" si="21"/>
        <v>13</v>
      </c>
      <c r="P25" s="25">
        <v>4.0</v>
      </c>
      <c r="Q25" s="25">
        <v>7.0</v>
      </c>
      <c r="R25" s="25">
        <v>1.0</v>
      </c>
      <c r="S25" s="25">
        <v>1.0</v>
      </c>
      <c r="T25" s="25"/>
      <c r="U25" s="25"/>
      <c r="V25" s="26"/>
      <c r="W25" s="1"/>
      <c r="X25" s="34" t="s">
        <v>29</v>
      </c>
      <c r="Y25" s="23" t="s">
        <v>20</v>
      </c>
      <c r="Z25" s="24">
        <f t="shared" si="22"/>
        <v>14</v>
      </c>
      <c r="AA25" s="25">
        <f t="shared" ref="AA25:AF25" si="57">SUM(AA26:AA27)</f>
        <v>4</v>
      </c>
      <c r="AB25" s="25">
        <f t="shared" si="57"/>
        <v>7</v>
      </c>
      <c r="AC25" s="25">
        <f t="shared" si="57"/>
        <v>1</v>
      </c>
      <c r="AD25" s="25">
        <f t="shared" si="57"/>
        <v>2</v>
      </c>
      <c r="AE25" s="25">
        <f t="shared" si="57"/>
        <v>0</v>
      </c>
      <c r="AF25" s="25">
        <f t="shared" si="57"/>
        <v>0</v>
      </c>
      <c r="AG25" s="27"/>
      <c r="AH25" s="28"/>
      <c r="AI25" s="34" t="s">
        <v>29</v>
      </c>
      <c r="AJ25" s="23" t="s">
        <v>20</v>
      </c>
      <c r="AK25" s="24">
        <f t="shared" si="23"/>
        <v>15</v>
      </c>
      <c r="AL25" s="25">
        <f t="shared" ref="AL25:AQ25" si="58">SUM(AL26:AL27)</f>
        <v>4</v>
      </c>
      <c r="AM25" s="25">
        <f t="shared" si="58"/>
        <v>8</v>
      </c>
      <c r="AN25" s="25">
        <f t="shared" si="58"/>
        <v>1</v>
      </c>
      <c r="AO25" s="25">
        <f t="shared" si="58"/>
        <v>2</v>
      </c>
      <c r="AP25" s="25">
        <f t="shared" si="58"/>
        <v>0</v>
      </c>
      <c r="AQ25" s="25">
        <f t="shared" si="58"/>
        <v>0</v>
      </c>
      <c r="AR25" s="26"/>
      <c r="AS25" s="1"/>
      <c r="AT25" s="34" t="s">
        <v>29</v>
      </c>
      <c r="AU25" s="23" t="s">
        <v>20</v>
      </c>
      <c r="AV25" s="24">
        <f t="shared" ref="AV25:BB25" si="59">AK25-Z25</f>
        <v>1</v>
      </c>
      <c r="AW25" s="24">
        <f t="shared" si="59"/>
        <v>0</v>
      </c>
      <c r="AX25" s="24">
        <f t="shared" si="59"/>
        <v>1</v>
      </c>
      <c r="AY25" s="24">
        <f t="shared" si="59"/>
        <v>0</v>
      </c>
      <c r="AZ25" s="24">
        <f t="shared" si="59"/>
        <v>0</v>
      </c>
      <c r="BA25" s="24">
        <f t="shared" si="59"/>
        <v>0</v>
      </c>
      <c r="BB25" s="24">
        <f t="shared" si="59"/>
        <v>0</v>
      </c>
      <c r="BC25" s="26"/>
    </row>
    <row r="26" ht="13.5" customHeight="1">
      <c r="A26" s="1"/>
      <c r="B26" s="19"/>
      <c r="C26" s="29" t="s">
        <v>21</v>
      </c>
      <c r="D26" s="30">
        <f t="shared" si="20"/>
        <v>11</v>
      </c>
      <c r="E26" s="31">
        <v>3.0</v>
      </c>
      <c r="F26" s="31">
        <v>7.0</v>
      </c>
      <c r="G26" s="31"/>
      <c r="H26" s="31">
        <v>1.0</v>
      </c>
      <c r="I26" s="31"/>
      <c r="J26" s="31"/>
      <c r="K26" s="32"/>
      <c r="L26" s="1"/>
      <c r="M26" s="19"/>
      <c r="N26" s="29" t="s">
        <v>21</v>
      </c>
      <c r="O26" s="30">
        <f t="shared" si="21"/>
        <v>12</v>
      </c>
      <c r="P26" s="31">
        <v>4.0</v>
      </c>
      <c r="Q26" s="31">
        <v>7.0</v>
      </c>
      <c r="R26" s="31"/>
      <c r="S26" s="31">
        <v>1.0</v>
      </c>
      <c r="T26" s="31"/>
      <c r="U26" s="31"/>
      <c r="V26" s="32"/>
      <c r="W26" s="1"/>
      <c r="X26" s="19"/>
      <c r="Y26" s="29" t="s">
        <v>21</v>
      </c>
      <c r="Z26" s="30">
        <f t="shared" si="22"/>
        <v>12</v>
      </c>
      <c r="AA26" s="31">
        <v>4.0</v>
      </c>
      <c r="AB26" s="31">
        <v>7.0</v>
      </c>
      <c r="AC26" s="31"/>
      <c r="AD26" s="31">
        <v>1.0</v>
      </c>
      <c r="AE26" s="31"/>
      <c r="AF26" s="31"/>
      <c r="AG26" s="33"/>
      <c r="AH26" s="28"/>
      <c r="AI26" s="19"/>
      <c r="AJ26" s="29" t="s">
        <v>21</v>
      </c>
      <c r="AK26" s="30">
        <f t="shared" si="23"/>
        <v>13</v>
      </c>
      <c r="AL26" s="31">
        <v>4.0</v>
      </c>
      <c r="AM26" s="31">
        <v>8.0</v>
      </c>
      <c r="AN26" s="31"/>
      <c r="AO26" s="31">
        <v>1.0</v>
      </c>
      <c r="AP26" s="31"/>
      <c r="AQ26" s="31"/>
      <c r="AR26" s="32"/>
      <c r="AS26" s="1"/>
      <c r="AT26" s="19"/>
      <c r="AU26" s="29" t="s">
        <v>21</v>
      </c>
      <c r="AV26" s="30">
        <f t="shared" ref="AV26:BB26" si="60">AK26-Z26</f>
        <v>1</v>
      </c>
      <c r="AW26" s="30">
        <f t="shared" si="60"/>
        <v>0</v>
      </c>
      <c r="AX26" s="30">
        <f t="shared" si="60"/>
        <v>1</v>
      </c>
      <c r="AY26" s="30">
        <f t="shared" si="60"/>
        <v>0</v>
      </c>
      <c r="AZ26" s="30">
        <f t="shared" si="60"/>
        <v>0</v>
      </c>
      <c r="BA26" s="30">
        <f t="shared" si="60"/>
        <v>0</v>
      </c>
      <c r="BB26" s="30">
        <f t="shared" si="60"/>
        <v>0</v>
      </c>
      <c r="BC26" s="32"/>
    </row>
    <row r="27" ht="13.5" customHeight="1">
      <c r="A27" s="1"/>
      <c r="B27" s="21"/>
      <c r="C27" s="29" t="s">
        <v>22</v>
      </c>
      <c r="D27" s="30">
        <f t="shared" si="20"/>
        <v>1</v>
      </c>
      <c r="E27" s="31"/>
      <c r="F27" s="31"/>
      <c r="G27" s="31">
        <v>1.0</v>
      </c>
      <c r="H27" s="31"/>
      <c r="I27" s="31"/>
      <c r="J27" s="31"/>
      <c r="K27" s="32"/>
      <c r="L27" s="1"/>
      <c r="M27" s="21"/>
      <c r="N27" s="29" t="s">
        <v>22</v>
      </c>
      <c r="O27" s="30">
        <f t="shared" si="21"/>
        <v>1</v>
      </c>
      <c r="P27" s="31"/>
      <c r="Q27" s="31"/>
      <c r="R27" s="31">
        <v>1.0</v>
      </c>
      <c r="S27" s="31"/>
      <c r="T27" s="31"/>
      <c r="U27" s="31"/>
      <c r="V27" s="32"/>
      <c r="W27" s="1"/>
      <c r="X27" s="21"/>
      <c r="Y27" s="29" t="s">
        <v>22</v>
      </c>
      <c r="Z27" s="30">
        <f t="shared" si="22"/>
        <v>2</v>
      </c>
      <c r="AA27" s="31"/>
      <c r="AB27" s="31"/>
      <c r="AC27" s="31">
        <v>1.0</v>
      </c>
      <c r="AD27" s="31">
        <v>1.0</v>
      </c>
      <c r="AE27" s="31"/>
      <c r="AF27" s="31"/>
      <c r="AG27" s="33"/>
      <c r="AH27" s="28"/>
      <c r="AI27" s="21"/>
      <c r="AJ27" s="29" t="s">
        <v>22</v>
      </c>
      <c r="AK27" s="30">
        <f t="shared" si="23"/>
        <v>2</v>
      </c>
      <c r="AL27" s="31"/>
      <c r="AM27" s="31"/>
      <c r="AN27" s="31">
        <v>1.0</v>
      </c>
      <c r="AO27" s="31">
        <v>1.0</v>
      </c>
      <c r="AP27" s="31"/>
      <c r="AQ27" s="31"/>
      <c r="AR27" s="32"/>
      <c r="AS27" s="1"/>
      <c r="AT27" s="21"/>
      <c r="AU27" s="29" t="s">
        <v>22</v>
      </c>
      <c r="AV27" s="30">
        <f t="shared" ref="AV27:BB27" si="61">AK27-Z27</f>
        <v>0</v>
      </c>
      <c r="AW27" s="30">
        <f t="shared" si="61"/>
        <v>0</v>
      </c>
      <c r="AX27" s="30">
        <f t="shared" si="61"/>
        <v>0</v>
      </c>
      <c r="AY27" s="30">
        <f t="shared" si="61"/>
        <v>0</v>
      </c>
      <c r="AZ27" s="30">
        <f t="shared" si="61"/>
        <v>0</v>
      </c>
      <c r="BA27" s="30">
        <f t="shared" si="61"/>
        <v>0</v>
      </c>
      <c r="BB27" s="30">
        <f t="shared" si="61"/>
        <v>0</v>
      </c>
      <c r="BC27" s="32"/>
    </row>
    <row r="28" ht="13.5" customHeight="1">
      <c r="A28" s="1"/>
      <c r="B28" s="34" t="s">
        <v>30</v>
      </c>
      <c r="C28" s="23" t="s">
        <v>20</v>
      </c>
      <c r="D28" s="24">
        <f t="shared" si="20"/>
        <v>5</v>
      </c>
      <c r="E28" s="25">
        <f t="shared" ref="E28:J28" si="62">SUM(E29:E30)</f>
        <v>2</v>
      </c>
      <c r="F28" s="25">
        <f t="shared" si="62"/>
        <v>3</v>
      </c>
      <c r="G28" s="25">
        <f t="shared" si="62"/>
        <v>0</v>
      </c>
      <c r="H28" s="25">
        <f t="shared" si="62"/>
        <v>0</v>
      </c>
      <c r="I28" s="25">
        <f t="shared" si="62"/>
        <v>0</v>
      </c>
      <c r="J28" s="25">
        <f t="shared" si="62"/>
        <v>0</v>
      </c>
      <c r="K28" s="26"/>
      <c r="L28" s="1"/>
      <c r="M28" s="34" t="s">
        <v>30</v>
      </c>
      <c r="N28" s="23" t="s">
        <v>20</v>
      </c>
      <c r="O28" s="24">
        <f t="shared" si="21"/>
        <v>5</v>
      </c>
      <c r="P28" s="25">
        <v>2.0</v>
      </c>
      <c r="Q28" s="25">
        <v>3.0</v>
      </c>
      <c r="R28" s="25"/>
      <c r="S28" s="25"/>
      <c r="T28" s="25"/>
      <c r="U28" s="25"/>
      <c r="V28" s="26"/>
      <c r="W28" s="1"/>
      <c r="X28" s="34" t="s">
        <v>30</v>
      </c>
      <c r="Y28" s="23" t="s">
        <v>20</v>
      </c>
      <c r="Z28" s="24">
        <f t="shared" si="22"/>
        <v>5</v>
      </c>
      <c r="AA28" s="25">
        <f t="shared" ref="AA28:AF28" si="63">SUM(AA29:AA30)</f>
        <v>2</v>
      </c>
      <c r="AB28" s="25">
        <f t="shared" si="63"/>
        <v>3</v>
      </c>
      <c r="AC28" s="25">
        <f t="shared" si="63"/>
        <v>0</v>
      </c>
      <c r="AD28" s="25">
        <f t="shared" si="63"/>
        <v>0</v>
      </c>
      <c r="AE28" s="25">
        <f t="shared" si="63"/>
        <v>0</v>
      </c>
      <c r="AF28" s="25">
        <f t="shared" si="63"/>
        <v>0</v>
      </c>
      <c r="AG28" s="27"/>
      <c r="AH28" s="28"/>
      <c r="AI28" s="34" t="s">
        <v>30</v>
      </c>
      <c r="AJ28" s="23" t="s">
        <v>20</v>
      </c>
      <c r="AK28" s="24">
        <f t="shared" si="23"/>
        <v>5</v>
      </c>
      <c r="AL28" s="25">
        <f t="shared" ref="AL28:AQ28" si="64">SUM(AL29:AL30)</f>
        <v>2</v>
      </c>
      <c r="AM28" s="25">
        <f t="shared" si="64"/>
        <v>3</v>
      </c>
      <c r="AN28" s="25">
        <f t="shared" si="64"/>
        <v>0</v>
      </c>
      <c r="AO28" s="25">
        <f t="shared" si="64"/>
        <v>0</v>
      </c>
      <c r="AP28" s="25">
        <f t="shared" si="64"/>
        <v>0</v>
      </c>
      <c r="AQ28" s="25">
        <f t="shared" si="64"/>
        <v>0</v>
      </c>
      <c r="AR28" s="26"/>
      <c r="AS28" s="1"/>
      <c r="AT28" s="34" t="s">
        <v>30</v>
      </c>
      <c r="AU28" s="23" t="s">
        <v>20</v>
      </c>
      <c r="AV28" s="24">
        <f t="shared" ref="AV28:BB28" si="65">AK28-Z28</f>
        <v>0</v>
      </c>
      <c r="AW28" s="24">
        <f t="shared" si="65"/>
        <v>0</v>
      </c>
      <c r="AX28" s="24">
        <f t="shared" si="65"/>
        <v>0</v>
      </c>
      <c r="AY28" s="24">
        <f t="shared" si="65"/>
        <v>0</v>
      </c>
      <c r="AZ28" s="24">
        <f t="shared" si="65"/>
        <v>0</v>
      </c>
      <c r="BA28" s="24">
        <f t="shared" si="65"/>
        <v>0</v>
      </c>
      <c r="BB28" s="24">
        <f t="shared" si="65"/>
        <v>0</v>
      </c>
      <c r="BC28" s="26"/>
    </row>
    <row r="29" ht="13.5" customHeight="1">
      <c r="A29" s="1"/>
      <c r="B29" s="19"/>
      <c r="C29" s="29" t="s">
        <v>21</v>
      </c>
      <c r="D29" s="30">
        <f t="shared" si="20"/>
        <v>5</v>
      </c>
      <c r="E29" s="31">
        <v>2.0</v>
      </c>
      <c r="F29" s="31">
        <v>3.0</v>
      </c>
      <c r="G29" s="31"/>
      <c r="H29" s="31"/>
      <c r="I29" s="31"/>
      <c r="J29" s="31"/>
      <c r="K29" s="32"/>
      <c r="L29" s="1"/>
      <c r="M29" s="19"/>
      <c r="N29" s="29" t="s">
        <v>21</v>
      </c>
      <c r="O29" s="30">
        <f t="shared" si="21"/>
        <v>5</v>
      </c>
      <c r="P29" s="31">
        <v>2.0</v>
      </c>
      <c r="Q29" s="31">
        <v>3.0</v>
      </c>
      <c r="R29" s="31"/>
      <c r="S29" s="31"/>
      <c r="T29" s="31"/>
      <c r="U29" s="31"/>
      <c r="V29" s="32"/>
      <c r="W29" s="1"/>
      <c r="X29" s="19"/>
      <c r="Y29" s="29" t="s">
        <v>21</v>
      </c>
      <c r="Z29" s="30">
        <f t="shared" si="22"/>
        <v>5</v>
      </c>
      <c r="AA29" s="31">
        <v>2.0</v>
      </c>
      <c r="AB29" s="31">
        <v>3.0</v>
      </c>
      <c r="AC29" s="31"/>
      <c r="AD29" s="31"/>
      <c r="AE29" s="31"/>
      <c r="AF29" s="31"/>
      <c r="AG29" s="33"/>
      <c r="AH29" s="28"/>
      <c r="AI29" s="19"/>
      <c r="AJ29" s="29" t="s">
        <v>21</v>
      </c>
      <c r="AK29" s="30">
        <f t="shared" si="23"/>
        <v>5</v>
      </c>
      <c r="AL29" s="31">
        <v>2.0</v>
      </c>
      <c r="AM29" s="31">
        <v>3.0</v>
      </c>
      <c r="AN29" s="31"/>
      <c r="AO29" s="31"/>
      <c r="AP29" s="31"/>
      <c r="AQ29" s="31"/>
      <c r="AR29" s="32"/>
      <c r="AS29" s="1"/>
      <c r="AT29" s="19"/>
      <c r="AU29" s="29" t="s">
        <v>21</v>
      </c>
      <c r="AV29" s="30">
        <f t="shared" ref="AV29:BB29" si="66">AK29-Z29</f>
        <v>0</v>
      </c>
      <c r="AW29" s="30">
        <f t="shared" si="66"/>
        <v>0</v>
      </c>
      <c r="AX29" s="30">
        <f t="shared" si="66"/>
        <v>0</v>
      </c>
      <c r="AY29" s="30">
        <f t="shared" si="66"/>
        <v>0</v>
      </c>
      <c r="AZ29" s="30">
        <f t="shared" si="66"/>
        <v>0</v>
      </c>
      <c r="BA29" s="30">
        <f t="shared" si="66"/>
        <v>0</v>
      </c>
      <c r="BB29" s="30">
        <f t="shared" si="66"/>
        <v>0</v>
      </c>
      <c r="BC29" s="32"/>
    </row>
    <row r="30" ht="13.5" customHeight="1">
      <c r="A30" s="1"/>
      <c r="B30" s="21"/>
      <c r="C30" s="29" t="s">
        <v>22</v>
      </c>
      <c r="D30" s="30">
        <f t="shared" si="20"/>
        <v>0</v>
      </c>
      <c r="E30" s="31"/>
      <c r="F30" s="31"/>
      <c r="G30" s="31"/>
      <c r="H30" s="31"/>
      <c r="I30" s="31"/>
      <c r="J30" s="31"/>
      <c r="K30" s="32"/>
      <c r="L30" s="1"/>
      <c r="M30" s="21"/>
      <c r="N30" s="29" t="s">
        <v>22</v>
      </c>
      <c r="O30" s="30">
        <f t="shared" si="21"/>
        <v>0</v>
      </c>
      <c r="P30" s="31"/>
      <c r="Q30" s="31"/>
      <c r="R30" s="31"/>
      <c r="S30" s="31"/>
      <c r="T30" s="31"/>
      <c r="U30" s="31"/>
      <c r="V30" s="32"/>
      <c r="W30" s="1"/>
      <c r="X30" s="21"/>
      <c r="Y30" s="29" t="s">
        <v>22</v>
      </c>
      <c r="Z30" s="30">
        <f t="shared" si="22"/>
        <v>0</v>
      </c>
      <c r="AA30" s="31"/>
      <c r="AB30" s="31"/>
      <c r="AC30" s="31"/>
      <c r="AD30" s="31"/>
      <c r="AE30" s="31"/>
      <c r="AF30" s="31"/>
      <c r="AG30" s="33"/>
      <c r="AH30" s="28"/>
      <c r="AI30" s="21"/>
      <c r="AJ30" s="29" t="s">
        <v>22</v>
      </c>
      <c r="AK30" s="30">
        <f t="shared" si="23"/>
        <v>0</v>
      </c>
      <c r="AL30" s="31"/>
      <c r="AM30" s="31"/>
      <c r="AN30" s="31"/>
      <c r="AO30" s="31"/>
      <c r="AP30" s="31"/>
      <c r="AQ30" s="31"/>
      <c r="AR30" s="32"/>
      <c r="AS30" s="1"/>
      <c r="AT30" s="21"/>
      <c r="AU30" s="29" t="s">
        <v>22</v>
      </c>
      <c r="AV30" s="30">
        <f t="shared" ref="AV30:BB30" si="67">AK30-Z30</f>
        <v>0</v>
      </c>
      <c r="AW30" s="30">
        <f t="shared" si="67"/>
        <v>0</v>
      </c>
      <c r="AX30" s="30">
        <f t="shared" si="67"/>
        <v>0</v>
      </c>
      <c r="AY30" s="30">
        <f t="shared" si="67"/>
        <v>0</v>
      </c>
      <c r="AZ30" s="30">
        <f t="shared" si="67"/>
        <v>0</v>
      </c>
      <c r="BA30" s="30">
        <f t="shared" si="67"/>
        <v>0</v>
      </c>
      <c r="BB30" s="30">
        <f t="shared" si="67"/>
        <v>0</v>
      </c>
      <c r="BC30" s="32"/>
    </row>
    <row r="31" ht="13.5" customHeight="1">
      <c r="A31" s="1"/>
      <c r="B31" s="34" t="s">
        <v>31</v>
      </c>
      <c r="C31" s="23" t="s">
        <v>20</v>
      </c>
      <c r="D31" s="24">
        <f t="shared" si="20"/>
        <v>166</v>
      </c>
      <c r="E31" s="25">
        <f t="shared" ref="E31:J31" si="68">SUM(E32:E33)</f>
        <v>38</v>
      </c>
      <c r="F31" s="25">
        <f t="shared" si="68"/>
        <v>73</v>
      </c>
      <c r="G31" s="25">
        <f t="shared" si="68"/>
        <v>32</v>
      </c>
      <c r="H31" s="25">
        <f t="shared" si="68"/>
        <v>8</v>
      </c>
      <c r="I31" s="25">
        <f t="shared" si="68"/>
        <v>14</v>
      </c>
      <c r="J31" s="25">
        <f t="shared" si="68"/>
        <v>1</v>
      </c>
      <c r="K31" s="26"/>
      <c r="L31" s="1"/>
      <c r="M31" s="34" t="s">
        <v>31</v>
      </c>
      <c r="N31" s="23" t="s">
        <v>20</v>
      </c>
      <c r="O31" s="24">
        <f t="shared" si="21"/>
        <v>171</v>
      </c>
      <c r="P31" s="25">
        <v>38.0</v>
      </c>
      <c r="Q31" s="25">
        <v>79.0</v>
      </c>
      <c r="R31" s="25">
        <v>31.0</v>
      </c>
      <c r="S31" s="25">
        <v>8.0</v>
      </c>
      <c r="T31" s="25">
        <v>14.0</v>
      </c>
      <c r="U31" s="25">
        <v>1.0</v>
      </c>
      <c r="V31" s="26"/>
      <c r="W31" s="1"/>
      <c r="X31" s="34" t="s">
        <v>31</v>
      </c>
      <c r="Y31" s="23" t="s">
        <v>20</v>
      </c>
      <c r="Z31" s="24">
        <f t="shared" si="22"/>
        <v>177</v>
      </c>
      <c r="AA31" s="25">
        <f t="shared" ref="AA31:AF31" si="69">SUM(AA32:AA33)</f>
        <v>37</v>
      </c>
      <c r="AB31" s="25">
        <f t="shared" si="69"/>
        <v>83</v>
      </c>
      <c r="AC31" s="25">
        <f t="shared" si="69"/>
        <v>32</v>
      </c>
      <c r="AD31" s="25">
        <f t="shared" si="69"/>
        <v>10</v>
      </c>
      <c r="AE31" s="25">
        <f t="shared" si="69"/>
        <v>14</v>
      </c>
      <c r="AF31" s="25">
        <f t="shared" si="69"/>
        <v>1</v>
      </c>
      <c r="AG31" s="27"/>
      <c r="AH31" s="28"/>
      <c r="AI31" s="34" t="s">
        <v>31</v>
      </c>
      <c r="AJ31" s="23" t="s">
        <v>20</v>
      </c>
      <c r="AK31" s="24">
        <f t="shared" si="23"/>
        <v>186</v>
      </c>
      <c r="AL31" s="25">
        <f t="shared" ref="AL31:AQ31" si="70">SUM(AL32:AL33)</f>
        <v>39</v>
      </c>
      <c r="AM31" s="25">
        <f t="shared" si="70"/>
        <v>90</v>
      </c>
      <c r="AN31" s="25">
        <f t="shared" si="70"/>
        <v>32</v>
      </c>
      <c r="AO31" s="25">
        <f t="shared" si="70"/>
        <v>10</v>
      </c>
      <c r="AP31" s="25">
        <f t="shared" si="70"/>
        <v>14</v>
      </c>
      <c r="AQ31" s="25">
        <f t="shared" si="70"/>
        <v>1</v>
      </c>
      <c r="AR31" s="26"/>
      <c r="AS31" s="1"/>
      <c r="AT31" s="34" t="s">
        <v>31</v>
      </c>
      <c r="AU31" s="23" t="s">
        <v>20</v>
      </c>
      <c r="AV31" s="24">
        <f t="shared" ref="AV31:BB31" si="71">AK31-Z31</f>
        <v>9</v>
      </c>
      <c r="AW31" s="24">
        <f t="shared" si="71"/>
        <v>2</v>
      </c>
      <c r="AX31" s="24">
        <f t="shared" si="71"/>
        <v>7</v>
      </c>
      <c r="AY31" s="24">
        <f t="shared" si="71"/>
        <v>0</v>
      </c>
      <c r="AZ31" s="24">
        <f t="shared" si="71"/>
        <v>0</v>
      </c>
      <c r="BA31" s="24">
        <f t="shared" si="71"/>
        <v>0</v>
      </c>
      <c r="BB31" s="24">
        <f t="shared" si="71"/>
        <v>0</v>
      </c>
      <c r="BC31" s="26"/>
    </row>
    <row r="32" ht="13.5" customHeight="1">
      <c r="A32" s="1"/>
      <c r="B32" s="19"/>
      <c r="C32" s="29" t="s">
        <v>21</v>
      </c>
      <c r="D32" s="30">
        <f t="shared" si="20"/>
        <v>120</v>
      </c>
      <c r="E32" s="31">
        <v>37.0</v>
      </c>
      <c r="F32" s="31">
        <v>72.0</v>
      </c>
      <c r="G32" s="31">
        <v>7.0</v>
      </c>
      <c r="H32" s="31">
        <v>2.0</v>
      </c>
      <c r="I32" s="31">
        <v>2.0</v>
      </c>
      <c r="J32" s="31"/>
      <c r="K32" s="32"/>
      <c r="L32" s="1"/>
      <c r="M32" s="19"/>
      <c r="N32" s="29" t="s">
        <v>21</v>
      </c>
      <c r="O32" s="30">
        <f t="shared" si="21"/>
        <v>127</v>
      </c>
      <c r="P32" s="31">
        <v>37.0</v>
      </c>
      <c r="Q32" s="31">
        <v>78.0</v>
      </c>
      <c r="R32" s="31">
        <v>7.0</v>
      </c>
      <c r="S32" s="31">
        <v>2.0</v>
      </c>
      <c r="T32" s="31">
        <v>3.0</v>
      </c>
      <c r="U32" s="31"/>
      <c r="V32" s="32"/>
      <c r="W32" s="1"/>
      <c r="X32" s="19"/>
      <c r="Y32" s="29" t="s">
        <v>21</v>
      </c>
      <c r="Z32" s="30">
        <f t="shared" si="22"/>
        <v>131</v>
      </c>
      <c r="AA32" s="31">
        <v>37.0</v>
      </c>
      <c r="AB32" s="31">
        <v>82.0</v>
      </c>
      <c r="AC32" s="31">
        <v>7.0</v>
      </c>
      <c r="AD32" s="31">
        <v>2.0</v>
      </c>
      <c r="AE32" s="31">
        <v>3.0</v>
      </c>
      <c r="AF32" s="31"/>
      <c r="AG32" s="33"/>
      <c r="AH32" s="28"/>
      <c r="AI32" s="19"/>
      <c r="AJ32" s="29" t="s">
        <v>21</v>
      </c>
      <c r="AK32" s="30">
        <f t="shared" si="23"/>
        <v>140</v>
      </c>
      <c r="AL32" s="31">
        <v>39.0</v>
      </c>
      <c r="AM32" s="31">
        <v>89.0</v>
      </c>
      <c r="AN32" s="31">
        <v>7.0</v>
      </c>
      <c r="AO32" s="31">
        <v>2.0</v>
      </c>
      <c r="AP32" s="31">
        <v>3.0</v>
      </c>
      <c r="AQ32" s="31"/>
      <c r="AR32" s="32"/>
      <c r="AS32" s="1"/>
      <c r="AT32" s="19"/>
      <c r="AU32" s="29" t="s">
        <v>21</v>
      </c>
      <c r="AV32" s="30">
        <f t="shared" ref="AV32:BB32" si="72">AK32-Z32</f>
        <v>9</v>
      </c>
      <c r="AW32" s="30">
        <f t="shared" si="72"/>
        <v>2</v>
      </c>
      <c r="AX32" s="30">
        <f t="shared" si="72"/>
        <v>7</v>
      </c>
      <c r="AY32" s="30">
        <f t="shared" si="72"/>
        <v>0</v>
      </c>
      <c r="AZ32" s="30">
        <f t="shared" si="72"/>
        <v>0</v>
      </c>
      <c r="BA32" s="30">
        <f t="shared" si="72"/>
        <v>0</v>
      </c>
      <c r="BB32" s="30">
        <f t="shared" si="72"/>
        <v>0</v>
      </c>
      <c r="BC32" s="32"/>
    </row>
    <row r="33" ht="13.5" customHeight="1">
      <c r="A33" s="1"/>
      <c r="B33" s="21"/>
      <c r="C33" s="29" t="s">
        <v>22</v>
      </c>
      <c r="D33" s="30">
        <f t="shared" si="20"/>
        <v>46</v>
      </c>
      <c r="E33" s="31">
        <v>1.0</v>
      </c>
      <c r="F33" s="31">
        <v>1.0</v>
      </c>
      <c r="G33" s="31">
        <v>25.0</v>
      </c>
      <c r="H33" s="31">
        <v>6.0</v>
      </c>
      <c r="I33" s="31">
        <v>12.0</v>
      </c>
      <c r="J33" s="31">
        <v>1.0</v>
      </c>
      <c r="K33" s="32"/>
      <c r="L33" s="1"/>
      <c r="M33" s="21"/>
      <c r="N33" s="29" t="s">
        <v>22</v>
      </c>
      <c r="O33" s="30">
        <f t="shared" si="21"/>
        <v>44</v>
      </c>
      <c r="P33" s="31">
        <v>1.0</v>
      </c>
      <c r="Q33" s="31">
        <v>1.0</v>
      </c>
      <c r="R33" s="31">
        <v>24.0</v>
      </c>
      <c r="S33" s="31">
        <v>6.0</v>
      </c>
      <c r="T33" s="31">
        <v>11.0</v>
      </c>
      <c r="U33" s="31">
        <v>1.0</v>
      </c>
      <c r="V33" s="32"/>
      <c r="W33" s="1"/>
      <c r="X33" s="21"/>
      <c r="Y33" s="29" t="s">
        <v>22</v>
      </c>
      <c r="Z33" s="30">
        <f t="shared" si="22"/>
        <v>46</v>
      </c>
      <c r="AA33" s="31"/>
      <c r="AB33" s="31">
        <v>1.0</v>
      </c>
      <c r="AC33" s="31">
        <v>25.0</v>
      </c>
      <c r="AD33" s="31">
        <v>8.0</v>
      </c>
      <c r="AE33" s="31">
        <v>11.0</v>
      </c>
      <c r="AF33" s="31">
        <v>1.0</v>
      </c>
      <c r="AG33" s="33"/>
      <c r="AH33" s="28"/>
      <c r="AI33" s="21"/>
      <c r="AJ33" s="29" t="s">
        <v>22</v>
      </c>
      <c r="AK33" s="30">
        <f t="shared" si="23"/>
        <v>46</v>
      </c>
      <c r="AL33" s="31"/>
      <c r="AM33" s="31">
        <v>1.0</v>
      </c>
      <c r="AN33" s="31">
        <v>25.0</v>
      </c>
      <c r="AO33" s="31">
        <v>8.0</v>
      </c>
      <c r="AP33" s="31">
        <v>11.0</v>
      </c>
      <c r="AQ33" s="31">
        <v>1.0</v>
      </c>
      <c r="AR33" s="32"/>
      <c r="AS33" s="1"/>
      <c r="AT33" s="21"/>
      <c r="AU33" s="29" t="s">
        <v>22</v>
      </c>
      <c r="AV33" s="30">
        <f t="shared" ref="AV33:BB33" si="73">AK33-Z33</f>
        <v>0</v>
      </c>
      <c r="AW33" s="30">
        <f t="shared" si="73"/>
        <v>0</v>
      </c>
      <c r="AX33" s="30">
        <f t="shared" si="73"/>
        <v>0</v>
      </c>
      <c r="AY33" s="30">
        <f t="shared" si="73"/>
        <v>0</v>
      </c>
      <c r="AZ33" s="30">
        <f t="shared" si="73"/>
        <v>0</v>
      </c>
      <c r="BA33" s="30">
        <f t="shared" si="73"/>
        <v>0</v>
      </c>
      <c r="BB33" s="30">
        <f t="shared" si="73"/>
        <v>0</v>
      </c>
      <c r="BC33" s="32"/>
    </row>
    <row r="34" ht="13.5" customHeight="1">
      <c r="A34" s="1"/>
      <c r="B34" s="34" t="s">
        <v>32</v>
      </c>
      <c r="C34" s="23" t="s">
        <v>20</v>
      </c>
      <c r="D34" s="24">
        <f t="shared" si="20"/>
        <v>76</v>
      </c>
      <c r="E34" s="25">
        <f t="shared" ref="E34:J34" si="74">SUM(E35:E36)</f>
        <v>16</v>
      </c>
      <c r="F34" s="25">
        <f t="shared" si="74"/>
        <v>33</v>
      </c>
      <c r="G34" s="25">
        <f t="shared" si="74"/>
        <v>13</v>
      </c>
      <c r="H34" s="25">
        <f t="shared" si="74"/>
        <v>3</v>
      </c>
      <c r="I34" s="25">
        <f t="shared" si="74"/>
        <v>10</v>
      </c>
      <c r="J34" s="25">
        <f t="shared" si="74"/>
        <v>1</v>
      </c>
      <c r="K34" s="26"/>
      <c r="L34" s="1"/>
      <c r="M34" s="34" t="s">
        <v>32</v>
      </c>
      <c r="N34" s="23" t="s">
        <v>20</v>
      </c>
      <c r="O34" s="24">
        <f t="shared" si="21"/>
        <v>76</v>
      </c>
      <c r="P34" s="25">
        <v>16.0</v>
      </c>
      <c r="Q34" s="25">
        <v>34.0</v>
      </c>
      <c r="R34" s="25">
        <v>13.0</v>
      </c>
      <c r="S34" s="25">
        <v>3.0</v>
      </c>
      <c r="T34" s="25">
        <v>9.0</v>
      </c>
      <c r="U34" s="25">
        <v>1.0</v>
      </c>
      <c r="V34" s="26"/>
      <c r="W34" s="1"/>
      <c r="X34" s="34" t="s">
        <v>32</v>
      </c>
      <c r="Y34" s="23" t="s">
        <v>20</v>
      </c>
      <c r="Z34" s="24">
        <f t="shared" si="22"/>
        <v>77</v>
      </c>
      <c r="AA34" s="25">
        <f t="shared" ref="AA34:AF34" si="75">SUM(AA35:AA36)</f>
        <v>16</v>
      </c>
      <c r="AB34" s="25">
        <f t="shared" si="75"/>
        <v>35</v>
      </c>
      <c r="AC34" s="25">
        <f t="shared" si="75"/>
        <v>12</v>
      </c>
      <c r="AD34" s="25">
        <f t="shared" si="75"/>
        <v>3</v>
      </c>
      <c r="AE34" s="25">
        <f t="shared" si="75"/>
        <v>10</v>
      </c>
      <c r="AF34" s="25">
        <f t="shared" si="75"/>
        <v>1</v>
      </c>
      <c r="AG34" s="27"/>
      <c r="AH34" s="28"/>
      <c r="AI34" s="34" t="s">
        <v>32</v>
      </c>
      <c r="AJ34" s="23" t="s">
        <v>20</v>
      </c>
      <c r="AK34" s="24">
        <f t="shared" si="23"/>
        <v>77</v>
      </c>
      <c r="AL34" s="25">
        <f t="shared" ref="AL34:AQ34" si="76">SUM(AL35:AL36)</f>
        <v>16</v>
      </c>
      <c r="AM34" s="25">
        <f t="shared" si="76"/>
        <v>36</v>
      </c>
      <c r="AN34" s="25">
        <f t="shared" si="76"/>
        <v>12</v>
      </c>
      <c r="AO34" s="25">
        <f t="shared" si="76"/>
        <v>3</v>
      </c>
      <c r="AP34" s="25">
        <f t="shared" si="76"/>
        <v>9</v>
      </c>
      <c r="AQ34" s="25">
        <f t="shared" si="76"/>
        <v>1</v>
      </c>
      <c r="AR34" s="26"/>
      <c r="AS34" s="1"/>
      <c r="AT34" s="34" t="s">
        <v>32</v>
      </c>
      <c r="AU34" s="23" t="s">
        <v>20</v>
      </c>
      <c r="AV34" s="24">
        <f t="shared" ref="AV34:BB34" si="77">AK34-Z34</f>
        <v>0</v>
      </c>
      <c r="AW34" s="24">
        <f t="shared" si="77"/>
        <v>0</v>
      </c>
      <c r="AX34" s="24">
        <f t="shared" si="77"/>
        <v>1</v>
      </c>
      <c r="AY34" s="24">
        <f t="shared" si="77"/>
        <v>0</v>
      </c>
      <c r="AZ34" s="24">
        <f t="shared" si="77"/>
        <v>0</v>
      </c>
      <c r="BA34" s="24">
        <f t="shared" si="77"/>
        <v>-1</v>
      </c>
      <c r="BB34" s="24">
        <f t="shared" si="77"/>
        <v>0</v>
      </c>
      <c r="BC34" s="26"/>
    </row>
    <row r="35" ht="13.5" customHeight="1">
      <c r="A35" s="1"/>
      <c r="B35" s="19"/>
      <c r="C35" s="29" t="s">
        <v>21</v>
      </c>
      <c r="D35" s="30">
        <f t="shared" si="20"/>
        <v>59</v>
      </c>
      <c r="E35" s="31">
        <v>16.0</v>
      </c>
      <c r="F35" s="31">
        <v>33.0</v>
      </c>
      <c r="G35" s="31">
        <v>6.0</v>
      </c>
      <c r="H35" s="31">
        <v>2.0</v>
      </c>
      <c r="I35" s="31">
        <v>1.0</v>
      </c>
      <c r="J35" s="31">
        <v>1.0</v>
      </c>
      <c r="K35" s="32"/>
      <c r="L35" s="1"/>
      <c r="M35" s="19"/>
      <c r="N35" s="29" t="s">
        <v>21</v>
      </c>
      <c r="O35" s="30">
        <f t="shared" si="21"/>
        <v>60</v>
      </c>
      <c r="P35" s="31">
        <v>16.0</v>
      </c>
      <c r="Q35" s="31">
        <v>34.0</v>
      </c>
      <c r="R35" s="31">
        <v>6.0</v>
      </c>
      <c r="S35" s="31">
        <v>2.0</v>
      </c>
      <c r="T35" s="31">
        <v>1.0</v>
      </c>
      <c r="U35" s="31">
        <v>1.0</v>
      </c>
      <c r="V35" s="32"/>
      <c r="W35" s="1"/>
      <c r="X35" s="19"/>
      <c r="Y35" s="29" t="s">
        <v>21</v>
      </c>
      <c r="Z35" s="30">
        <f t="shared" si="22"/>
        <v>61</v>
      </c>
      <c r="AA35" s="31">
        <v>16.0</v>
      </c>
      <c r="AB35" s="31">
        <v>35.0</v>
      </c>
      <c r="AC35" s="31">
        <v>6.0</v>
      </c>
      <c r="AD35" s="31">
        <v>2.0</v>
      </c>
      <c r="AE35" s="31">
        <v>1.0</v>
      </c>
      <c r="AF35" s="31">
        <v>1.0</v>
      </c>
      <c r="AG35" s="33"/>
      <c r="AH35" s="28"/>
      <c r="AI35" s="19"/>
      <c r="AJ35" s="29" t="s">
        <v>21</v>
      </c>
      <c r="AK35" s="30">
        <f t="shared" si="23"/>
        <v>62</v>
      </c>
      <c r="AL35" s="31">
        <v>16.0</v>
      </c>
      <c r="AM35" s="31">
        <v>36.0</v>
      </c>
      <c r="AN35" s="31">
        <v>6.0</v>
      </c>
      <c r="AO35" s="31">
        <v>2.0</v>
      </c>
      <c r="AP35" s="31">
        <v>1.0</v>
      </c>
      <c r="AQ35" s="31">
        <v>1.0</v>
      </c>
      <c r="AR35" s="32"/>
      <c r="AS35" s="1"/>
      <c r="AT35" s="19"/>
      <c r="AU35" s="29" t="s">
        <v>21</v>
      </c>
      <c r="AV35" s="30">
        <f t="shared" ref="AV35:BB35" si="78">AK35-Z35</f>
        <v>1</v>
      </c>
      <c r="AW35" s="30">
        <f t="shared" si="78"/>
        <v>0</v>
      </c>
      <c r="AX35" s="30">
        <f t="shared" si="78"/>
        <v>1</v>
      </c>
      <c r="AY35" s="30">
        <f t="shared" si="78"/>
        <v>0</v>
      </c>
      <c r="AZ35" s="30">
        <f t="shared" si="78"/>
        <v>0</v>
      </c>
      <c r="BA35" s="30">
        <f t="shared" si="78"/>
        <v>0</v>
      </c>
      <c r="BB35" s="30">
        <f t="shared" si="78"/>
        <v>0</v>
      </c>
      <c r="BC35" s="32"/>
    </row>
    <row r="36" ht="13.5" customHeight="1">
      <c r="A36" s="1"/>
      <c r="B36" s="21"/>
      <c r="C36" s="29" t="s">
        <v>22</v>
      </c>
      <c r="D36" s="30">
        <f t="shared" si="20"/>
        <v>17</v>
      </c>
      <c r="E36" s="31"/>
      <c r="F36" s="31"/>
      <c r="G36" s="31">
        <v>7.0</v>
      </c>
      <c r="H36" s="31">
        <v>1.0</v>
      </c>
      <c r="I36" s="31">
        <v>9.0</v>
      </c>
      <c r="J36" s="31"/>
      <c r="K36" s="32"/>
      <c r="L36" s="1"/>
      <c r="M36" s="21"/>
      <c r="N36" s="29" t="s">
        <v>22</v>
      </c>
      <c r="O36" s="30">
        <f t="shared" si="21"/>
        <v>16</v>
      </c>
      <c r="P36" s="31"/>
      <c r="Q36" s="31"/>
      <c r="R36" s="31">
        <v>7.0</v>
      </c>
      <c r="S36" s="31">
        <v>1.0</v>
      </c>
      <c r="T36" s="31">
        <v>8.0</v>
      </c>
      <c r="U36" s="31"/>
      <c r="V36" s="32"/>
      <c r="W36" s="1"/>
      <c r="X36" s="21"/>
      <c r="Y36" s="29" t="s">
        <v>22</v>
      </c>
      <c r="Z36" s="30">
        <f t="shared" si="22"/>
        <v>16</v>
      </c>
      <c r="AA36" s="31"/>
      <c r="AB36" s="31"/>
      <c r="AC36" s="31">
        <v>6.0</v>
      </c>
      <c r="AD36" s="31">
        <v>1.0</v>
      </c>
      <c r="AE36" s="31">
        <v>9.0</v>
      </c>
      <c r="AF36" s="31"/>
      <c r="AG36" s="33"/>
      <c r="AH36" s="28"/>
      <c r="AI36" s="21"/>
      <c r="AJ36" s="29" t="s">
        <v>22</v>
      </c>
      <c r="AK36" s="30">
        <f t="shared" si="23"/>
        <v>15</v>
      </c>
      <c r="AL36" s="31"/>
      <c r="AM36" s="31"/>
      <c r="AN36" s="31">
        <v>6.0</v>
      </c>
      <c r="AO36" s="31">
        <v>1.0</v>
      </c>
      <c r="AP36" s="31">
        <v>8.0</v>
      </c>
      <c r="AQ36" s="31"/>
      <c r="AR36" s="32"/>
      <c r="AS36" s="1"/>
      <c r="AT36" s="21"/>
      <c r="AU36" s="29" t="s">
        <v>22</v>
      </c>
      <c r="AV36" s="30">
        <f t="shared" ref="AV36:BB36" si="79">AK36-Z36</f>
        <v>-1</v>
      </c>
      <c r="AW36" s="30">
        <f t="shared" si="79"/>
        <v>0</v>
      </c>
      <c r="AX36" s="30">
        <f t="shared" si="79"/>
        <v>0</v>
      </c>
      <c r="AY36" s="30">
        <f t="shared" si="79"/>
        <v>0</v>
      </c>
      <c r="AZ36" s="30">
        <f t="shared" si="79"/>
        <v>0</v>
      </c>
      <c r="BA36" s="30">
        <f t="shared" si="79"/>
        <v>-1</v>
      </c>
      <c r="BB36" s="30">
        <f t="shared" si="79"/>
        <v>0</v>
      </c>
      <c r="BC36" s="32"/>
    </row>
    <row r="37" ht="13.5" customHeight="1">
      <c r="A37" s="1"/>
      <c r="B37" s="34" t="s">
        <v>33</v>
      </c>
      <c r="C37" s="23" t="s">
        <v>20</v>
      </c>
      <c r="D37" s="24">
        <f t="shared" si="20"/>
        <v>43</v>
      </c>
      <c r="E37" s="25">
        <f t="shared" ref="E37:J37" si="80">SUM(E38:E39)</f>
        <v>6</v>
      </c>
      <c r="F37" s="25">
        <f t="shared" si="80"/>
        <v>15</v>
      </c>
      <c r="G37" s="25">
        <f t="shared" si="80"/>
        <v>17</v>
      </c>
      <c r="H37" s="25">
        <f t="shared" si="80"/>
        <v>1</v>
      </c>
      <c r="I37" s="25">
        <f t="shared" si="80"/>
        <v>4</v>
      </c>
      <c r="J37" s="25">
        <f t="shared" si="80"/>
        <v>0</v>
      </c>
      <c r="K37" s="26"/>
      <c r="L37" s="1"/>
      <c r="M37" s="34" t="s">
        <v>33</v>
      </c>
      <c r="N37" s="23" t="s">
        <v>20</v>
      </c>
      <c r="O37" s="24">
        <f t="shared" si="21"/>
        <v>47</v>
      </c>
      <c r="P37" s="25">
        <v>7.0</v>
      </c>
      <c r="Q37" s="25">
        <v>16.0</v>
      </c>
      <c r="R37" s="25">
        <v>18.0</v>
      </c>
      <c r="S37" s="25">
        <v>1.0</v>
      </c>
      <c r="T37" s="25">
        <v>5.0</v>
      </c>
      <c r="U37" s="25"/>
      <c r="V37" s="26"/>
      <c r="W37" s="1"/>
      <c r="X37" s="34" t="s">
        <v>33</v>
      </c>
      <c r="Y37" s="23" t="s">
        <v>20</v>
      </c>
      <c r="Z37" s="24">
        <f t="shared" si="22"/>
        <v>49</v>
      </c>
      <c r="AA37" s="25">
        <f t="shared" ref="AA37:AF37" si="81">SUM(AA38:AA39)</f>
        <v>8</v>
      </c>
      <c r="AB37" s="25">
        <f t="shared" si="81"/>
        <v>16</v>
      </c>
      <c r="AC37" s="25">
        <f t="shared" si="81"/>
        <v>19</v>
      </c>
      <c r="AD37" s="25">
        <f t="shared" si="81"/>
        <v>1</v>
      </c>
      <c r="AE37" s="25">
        <f t="shared" si="81"/>
        <v>5</v>
      </c>
      <c r="AF37" s="25">
        <f t="shared" si="81"/>
        <v>0</v>
      </c>
      <c r="AG37" s="27"/>
      <c r="AH37" s="28"/>
      <c r="AI37" s="34" t="s">
        <v>33</v>
      </c>
      <c r="AJ37" s="23" t="s">
        <v>20</v>
      </c>
      <c r="AK37" s="24">
        <f t="shared" si="23"/>
        <v>49</v>
      </c>
      <c r="AL37" s="25">
        <f t="shared" ref="AL37:AQ37" si="82">SUM(AL38:AL39)</f>
        <v>8</v>
      </c>
      <c r="AM37" s="25">
        <f t="shared" si="82"/>
        <v>18</v>
      </c>
      <c r="AN37" s="25">
        <f t="shared" si="82"/>
        <v>18</v>
      </c>
      <c r="AO37" s="25">
        <f t="shared" si="82"/>
        <v>1</v>
      </c>
      <c r="AP37" s="25">
        <f t="shared" si="82"/>
        <v>4</v>
      </c>
      <c r="AQ37" s="25">
        <f t="shared" si="82"/>
        <v>0</v>
      </c>
      <c r="AR37" s="26"/>
      <c r="AS37" s="1"/>
      <c r="AT37" s="34" t="s">
        <v>33</v>
      </c>
      <c r="AU37" s="23" t="s">
        <v>20</v>
      </c>
      <c r="AV37" s="24">
        <f t="shared" ref="AV37:BB37" si="83">AK37-Z37</f>
        <v>0</v>
      </c>
      <c r="AW37" s="24">
        <f t="shared" si="83"/>
        <v>0</v>
      </c>
      <c r="AX37" s="24">
        <f t="shared" si="83"/>
        <v>2</v>
      </c>
      <c r="AY37" s="24">
        <f t="shared" si="83"/>
        <v>-1</v>
      </c>
      <c r="AZ37" s="24">
        <f t="shared" si="83"/>
        <v>0</v>
      </c>
      <c r="BA37" s="24">
        <f t="shared" si="83"/>
        <v>-1</v>
      </c>
      <c r="BB37" s="24">
        <f t="shared" si="83"/>
        <v>0</v>
      </c>
      <c r="BC37" s="26"/>
    </row>
    <row r="38" ht="13.5" customHeight="1">
      <c r="A38" s="1"/>
      <c r="B38" s="19"/>
      <c r="C38" s="29" t="s">
        <v>21</v>
      </c>
      <c r="D38" s="30">
        <f t="shared" si="20"/>
        <v>29</v>
      </c>
      <c r="E38" s="31">
        <v>6.0</v>
      </c>
      <c r="F38" s="31">
        <v>15.0</v>
      </c>
      <c r="G38" s="31">
        <v>7.0</v>
      </c>
      <c r="H38" s="31"/>
      <c r="I38" s="31">
        <v>1.0</v>
      </c>
      <c r="J38" s="31"/>
      <c r="K38" s="32"/>
      <c r="L38" s="1"/>
      <c r="M38" s="19"/>
      <c r="N38" s="29" t="s">
        <v>21</v>
      </c>
      <c r="O38" s="30">
        <f t="shared" si="21"/>
        <v>32</v>
      </c>
      <c r="P38" s="31">
        <v>7.0</v>
      </c>
      <c r="Q38" s="31">
        <v>16.0</v>
      </c>
      <c r="R38" s="31">
        <v>8.0</v>
      </c>
      <c r="S38" s="31"/>
      <c r="T38" s="31">
        <v>1.0</v>
      </c>
      <c r="U38" s="31"/>
      <c r="V38" s="32"/>
      <c r="W38" s="1"/>
      <c r="X38" s="19"/>
      <c r="Y38" s="29" t="s">
        <v>21</v>
      </c>
      <c r="Z38" s="30">
        <f t="shared" si="22"/>
        <v>33</v>
      </c>
      <c r="AA38" s="31">
        <v>8.0</v>
      </c>
      <c r="AB38" s="31">
        <v>16.0</v>
      </c>
      <c r="AC38" s="31">
        <v>8.0</v>
      </c>
      <c r="AD38" s="31"/>
      <c r="AE38" s="31">
        <v>1.0</v>
      </c>
      <c r="AF38" s="31"/>
      <c r="AG38" s="33"/>
      <c r="AH38" s="28"/>
      <c r="AI38" s="19"/>
      <c r="AJ38" s="29" t="s">
        <v>21</v>
      </c>
      <c r="AK38" s="30">
        <f t="shared" si="23"/>
        <v>35</v>
      </c>
      <c r="AL38" s="31">
        <v>8.0</v>
      </c>
      <c r="AM38" s="31">
        <v>18.0</v>
      </c>
      <c r="AN38" s="31">
        <v>8.0</v>
      </c>
      <c r="AO38" s="31"/>
      <c r="AP38" s="31">
        <v>1.0</v>
      </c>
      <c r="AQ38" s="31"/>
      <c r="AR38" s="32"/>
      <c r="AS38" s="1"/>
      <c r="AT38" s="19"/>
      <c r="AU38" s="29" t="s">
        <v>21</v>
      </c>
      <c r="AV38" s="30">
        <f t="shared" ref="AV38:BB38" si="84">AK38-Z38</f>
        <v>2</v>
      </c>
      <c r="AW38" s="30">
        <f t="shared" si="84"/>
        <v>0</v>
      </c>
      <c r="AX38" s="30">
        <f t="shared" si="84"/>
        <v>2</v>
      </c>
      <c r="AY38" s="30">
        <f t="shared" si="84"/>
        <v>0</v>
      </c>
      <c r="AZ38" s="30">
        <f t="shared" si="84"/>
        <v>0</v>
      </c>
      <c r="BA38" s="30">
        <f t="shared" si="84"/>
        <v>0</v>
      </c>
      <c r="BB38" s="30">
        <f t="shared" si="84"/>
        <v>0</v>
      </c>
      <c r="BC38" s="32"/>
    </row>
    <row r="39" ht="13.5" customHeight="1">
      <c r="A39" s="1"/>
      <c r="B39" s="21"/>
      <c r="C39" s="29" t="s">
        <v>22</v>
      </c>
      <c r="D39" s="30">
        <f t="shared" si="20"/>
        <v>14</v>
      </c>
      <c r="E39" s="31"/>
      <c r="F39" s="31"/>
      <c r="G39" s="31">
        <v>10.0</v>
      </c>
      <c r="H39" s="31">
        <v>1.0</v>
      </c>
      <c r="I39" s="31">
        <v>3.0</v>
      </c>
      <c r="J39" s="31"/>
      <c r="K39" s="32"/>
      <c r="L39" s="1"/>
      <c r="M39" s="21"/>
      <c r="N39" s="29" t="s">
        <v>22</v>
      </c>
      <c r="O39" s="30">
        <f t="shared" si="21"/>
        <v>15</v>
      </c>
      <c r="P39" s="31"/>
      <c r="Q39" s="31"/>
      <c r="R39" s="31">
        <v>10.0</v>
      </c>
      <c r="S39" s="31">
        <v>1.0</v>
      </c>
      <c r="T39" s="31">
        <v>4.0</v>
      </c>
      <c r="U39" s="31"/>
      <c r="V39" s="32"/>
      <c r="W39" s="1"/>
      <c r="X39" s="21"/>
      <c r="Y39" s="29" t="s">
        <v>22</v>
      </c>
      <c r="Z39" s="30">
        <f t="shared" si="22"/>
        <v>16</v>
      </c>
      <c r="AA39" s="31"/>
      <c r="AB39" s="31"/>
      <c r="AC39" s="31">
        <v>11.0</v>
      </c>
      <c r="AD39" s="31">
        <v>1.0</v>
      </c>
      <c r="AE39" s="31">
        <v>4.0</v>
      </c>
      <c r="AF39" s="31"/>
      <c r="AG39" s="33"/>
      <c r="AH39" s="28"/>
      <c r="AI39" s="21"/>
      <c r="AJ39" s="29" t="s">
        <v>22</v>
      </c>
      <c r="AK39" s="30">
        <f t="shared" si="23"/>
        <v>14</v>
      </c>
      <c r="AL39" s="31"/>
      <c r="AM39" s="31"/>
      <c r="AN39" s="31">
        <v>10.0</v>
      </c>
      <c r="AO39" s="31">
        <v>1.0</v>
      </c>
      <c r="AP39" s="31">
        <v>3.0</v>
      </c>
      <c r="AQ39" s="31"/>
      <c r="AR39" s="32"/>
      <c r="AS39" s="1"/>
      <c r="AT39" s="21"/>
      <c r="AU39" s="29" t="s">
        <v>22</v>
      </c>
      <c r="AV39" s="30">
        <f t="shared" ref="AV39:BB39" si="85">AK39-Z39</f>
        <v>-2</v>
      </c>
      <c r="AW39" s="30">
        <f t="shared" si="85"/>
        <v>0</v>
      </c>
      <c r="AX39" s="30">
        <f t="shared" si="85"/>
        <v>0</v>
      </c>
      <c r="AY39" s="30">
        <f t="shared" si="85"/>
        <v>-1</v>
      </c>
      <c r="AZ39" s="30">
        <f t="shared" si="85"/>
        <v>0</v>
      </c>
      <c r="BA39" s="30">
        <f t="shared" si="85"/>
        <v>-1</v>
      </c>
      <c r="BB39" s="30">
        <f t="shared" si="85"/>
        <v>0</v>
      </c>
      <c r="BC39" s="32"/>
    </row>
    <row r="40" ht="13.5" customHeight="1">
      <c r="A40" s="1"/>
      <c r="B40" s="34" t="s">
        <v>34</v>
      </c>
      <c r="C40" s="23" t="s">
        <v>20</v>
      </c>
      <c r="D40" s="24">
        <f t="shared" si="20"/>
        <v>48</v>
      </c>
      <c r="E40" s="25">
        <f t="shared" ref="E40:J40" si="86">SUM(E41:E42)</f>
        <v>11</v>
      </c>
      <c r="F40" s="25">
        <f t="shared" si="86"/>
        <v>15</v>
      </c>
      <c r="G40" s="25">
        <f t="shared" si="86"/>
        <v>12</v>
      </c>
      <c r="H40" s="25">
        <f t="shared" si="86"/>
        <v>3</v>
      </c>
      <c r="I40" s="25">
        <f t="shared" si="86"/>
        <v>7</v>
      </c>
      <c r="J40" s="25">
        <f t="shared" si="86"/>
        <v>0</v>
      </c>
      <c r="K40" s="26"/>
      <c r="L40" s="1"/>
      <c r="M40" s="34" t="s">
        <v>34</v>
      </c>
      <c r="N40" s="23" t="s">
        <v>20</v>
      </c>
      <c r="O40" s="24">
        <f t="shared" si="21"/>
        <v>47</v>
      </c>
      <c r="P40" s="25">
        <v>11.0</v>
      </c>
      <c r="Q40" s="25">
        <v>15.0</v>
      </c>
      <c r="R40" s="25">
        <v>12.0</v>
      </c>
      <c r="S40" s="25">
        <v>2.0</v>
      </c>
      <c r="T40" s="25">
        <v>7.0</v>
      </c>
      <c r="U40" s="25"/>
      <c r="V40" s="26"/>
      <c r="W40" s="1"/>
      <c r="X40" s="34" t="s">
        <v>34</v>
      </c>
      <c r="Y40" s="23" t="s">
        <v>20</v>
      </c>
      <c r="Z40" s="24">
        <f t="shared" si="22"/>
        <v>46</v>
      </c>
      <c r="AA40" s="25">
        <f t="shared" ref="AA40:AF40" si="87">SUM(AA41:AA42)</f>
        <v>11</v>
      </c>
      <c r="AB40" s="25">
        <f t="shared" si="87"/>
        <v>15</v>
      </c>
      <c r="AC40" s="25">
        <f t="shared" si="87"/>
        <v>12</v>
      </c>
      <c r="AD40" s="25">
        <f t="shared" si="87"/>
        <v>2</v>
      </c>
      <c r="AE40" s="25">
        <f t="shared" si="87"/>
        <v>6</v>
      </c>
      <c r="AF40" s="25">
        <f t="shared" si="87"/>
        <v>0</v>
      </c>
      <c r="AG40" s="27"/>
      <c r="AH40" s="28"/>
      <c r="AI40" s="34" t="s">
        <v>34</v>
      </c>
      <c r="AJ40" s="23" t="s">
        <v>20</v>
      </c>
      <c r="AK40" s="24">
        <f t="shared" si="23"/>
        <v>47</v>
      </c>
      <c r="AL40" s="25">
        <f t="shared" ref="AL40:AQ40" si="88">SUM(AL41:AL42)</f>
        <v>12</v>
      </c>
      <c r="AM40" s="25">
        <f t="shared" si="88"/>
        <v>16</v>
      </c>
      <c r="AN40" s="25">
        <f t="shared" si="88"/>
        <v>12</v>
      </c>
      <c r="AO40" s="25">
        <f t="shared" si="88"/>
        <v>2</v>
      </c>
      <c r="AP40" s="25">
        <f t="shared" si="88"/>
        <v>5</v>
      </c>
      <c r="AQ40" s="25">
        <f t="shared" si="88"/>
        <v>0</v>
      </c>
      <c r="AR40" s="26"/>
      <c r="AS40" s="1"/>
      <c r="AT40" s="34" t="s">
        <v>34</v>
      </c>
      <c r="AU40" s="23" t="s">
        <v>20</v>
      </c>
      <c r="AV40" s="24">
        <f t="shared" ref="AV40:BB40" si="89">AK40-Z40</f>
        <v>1</v>
      </c>
      <c r="AW40" s="24">
        <f t="shared" si="89"/>
        <v>1</v>
      </c>
      <c r="AX40" s="24">
        <f t="shared" si="89"/>
        <v>1</v>
      </c>
      <c r="AY40" s="24">
        <f t="shared" si="89"/>
        <v>0</v>
      </c>
      <c r="AZ40" s="24">
        <f t="shared" si="89"/>
        <v>0</v>
      </c>
      <c r="BA40" s="24">
        <f t="shared" si="89"/>
        <v>-1</v>
      </c>
      <c r="BB40" s="24">
        <f t="shared" si="89"/>
        <v>0</v>
      </c>
      <c r="BC40" s="26"/>
    </row>
    <row r="41" ht="13.5" customHeight="1">
      <c r="A41" s="1"/>
      <c r="B41" s="19"/>
      <c r="C41" s="29" t="s">
        <v>21</v>
      </c>
      <c r="D41" s="30">
        <f t="shared" si="20"/>
        <v>32</v>
      </c>
      <c r="E41" s="31">
        <v>11.0</v>
      </c>
      <c r="F41" s="31">
        <v>15.0</v>
      </c>
      <c r="G41" s="31">
        <v>3.0</v>
      </c>
      <c r="H41" s="31">
        <v>1.0</v>
      </c>
      <c r="I41" s="31">
        <v>2.0</v>
      </c>
      <c r="J41" s="31"/>
      <c r="K41" s="32"/>
      <c r="L41" s="1"/>
      <c r="M41" s="19"/>
      <c r="N41" s="29" t="s">
        <v>21</v>
      </c>
      <c r="O41" s="30">
        <f t="shared" si="21"/>
        <v>32</v>
      </c>
      <c r="P41" s="31">
        <v>11.0</v>
      </c>
      <c r="Q41" s="31">
        <v>15.0</v>
      </c>
      <c r="R41" s="31">
        <v>3.0</v>
      </c>
      <c r="S41" s="31">
        <v>1.0</v>
      </c>
      <c r="T41" s="31">
        <v>2.0</v>
      </c>
      <c r="U41" s="31"/>
      <c r="V41" s="32"/>
      <c r="W41" s="1"/>
      <c r="X41" s="19"/>
      <c r="Y41" s="29" t="s">
        <v>21</v>
      </c>
      <c r="Z41" s="30">
        <f t="shared" si="22"/>
        <v>33</v>
      </c>
      <c r="AA41" s="31">
        <v>11.0</v>
      </c>
      <c r="AB41" s="31">
        <v>15.0</v>
      </c>
      <c r="AC41" s="31">
        <v>4.0</v>
      </c>
      <c r="AD41" s="31">
        <v>1.0</v>
      </c>
      <c r="AE41" s="31">
        <v>2.0</v>
      </c>
      <c r="AF41" s="31"/>
      <c r="AG41" s="33"/>
      <c r="AH41" s="28"/>
      <c r="AI41" s="19"/>
      <c r="AJ41" s="29" t="s">
        <v>21</v>
      </c>
      <c r="AK41" s="30">
        <f t="shared" si="23"/>
        <v>35</v>
      </c>
      <c r="AL41" s="31">
        <v>12.0</v>
      </c>
      <c r="AM41" s="31">
        <v>16.0</v>
      </c>
      <c r="AN41" s="31">
        <v>4.0</v>
      </c>
      <c r="AO41" s="31">
        <v>1.0</v>
      </c>
      <c r="AP41" s="31">
        <v>2.0</v>
      </c>
      <c r="AQ41" s="31"/>
      <c r="AR41" s="32"/>
      <c r="AS41" s="1"/>
      <c r="AT41" s="19"/>
      <c r="AU41" s="29" t="s">
        <v>21</v>
      </c>
      <c r="AV41" s="30">
        <f t="shared" ref="AV41:BB41" si="90">AK41-Z41</f>
        <v>2</v>
      </c>
      <c r="AW41" s="30">
        <f t="shared" si="90"/>
        <v>1</v>
      </c>
      <c r="AX41" s="30">
        <f t="shared" si="90"/>
        <v>1</v>
      </c>
      <c r="AY41" s="30">
        <f t="shared" si="90"/>
        <v>0</v>
      </c>
      <c r="AZ41" s="30">
        <f t="shared" si="90"/>
        <v>0</v>
      </c>
      <c r="BA41" s="30">
        <f t="shared" si="90"/>
        <v>0</v>
      </c>
      <c r="BB41" s="30">
        <f t="shared" si="90"/>
        <v>0</v>
      </c>
      <c r="BC41" s="32"/>
    </row>
    <row r="42" ht="13.5" customHeight="1">
      <c r="A42" s="1"/>
      <c r="B42" s="21"/>
      <c r="C42" s="29" t="s">
        <v>22</v>
      </c>
      <c r="D42" s="30">
        <f t="shared" si="20"/>
        <v>16</v>
      </c>
      <c r="E42" s="31"/>
      <c r="F42" s="31"/>
      <c r="G42" s="31">
        <v>9.0</v>
      </c>
      <c r="H42" s="31">
        <v>2.0</v>
      </c>
      <c r="I42" s="31">
        <v>5.0</v>
      </c>
      <c r="J42" s="31"/>
      <c r="K42" s="32"/>
      <c r="L42" s="1"/>
      <c r="M42" s="21"/>
      <c r="N42" s="29" t="s">
        <v>22</v>
      </c>
      <c r="O42" s="30">
        <f t="shared" si="21"/>
        <v>15</v>
      </c>
      <c r="P42" s="31"/>
      <c r="Q42" s="31"/>
      <c r="R42" s="31">
        <v>9.0</v>
      </c>
      <c r="S42" s="31">
        <v>1.0</v>
      </c>
      <c r="T42" s="31">
        <v>5.0</v>
      </c>
      <c r="U42" s="31"/>
      <c r="V42" s="32"/>
      <c r="W42" s="1"/>
      <c r="X42" s="21"/>
      <c r="Y42" s="29" t="s">
        <v>22</v>
      </c>
      <c r="Z42" s="30">
        <f t="shared" si="22"/>
        <v>13</v>
      </c>
      <c r="AA42" s="31"/>
      <c r="AB42" s="31"/>
      <c r="AC42" s="31">
        <v>8.0</v>
      </c>
      <c r="AD42" s="31">
        <v>1.0</v>
      </c>
      <c r="AE42" s="31">
        <v>4.0</v>
      </c>
      <c r="AF42" s="31"/>
      <c r="AG42" s="33"/>
      <c r="AH42" s="28"/>
      <c r="AI42" s="21"/>
      <c r="AJ42" s="29" t="s">
        <v>22</v>
      </c>
      <c r="AK42" s="30">
        <f t="shared" si="23"/>
        <v>12</v>
      </c>
      <c r="AL42" s="31"/>
      <c r="AM42" s="31"/>
      <c r="AN42" s="31">
        <v>8.0</v>
      </c>
      <c r="AO42" s="31">
        <v>1.0</v>
      </c>
      <c r="AP42" s="31">
        <v>3.0</v>
      </c>
      <c r="AQ42" s="31"/>
      <c r="AR42" s="32"/>
      <c r="AS42" s="1"/>
      <c r="AT42" s="21"/>
      <c r="AU42" s="29" t="s">
        <v>22</v>
      </c>
      <c r="AV42" s="30">
        <f t="shared" ref="AV42:BB42" si="91">AK42-Z42</f>
        <v>-1</v>
      </c>
      <c r="AW42" s="30">
        <f t="shared" si="91"/>
        <v>0</v>
      </c>
      <c r="AX42" s="30">
        <f t="shared" si="91"/>
        <v>0</v>
      </c>
      <c r="AY42" s="30">
        <f t="shared" si="91"/>
        <v>0</v>
      </c>
      <c r="AZ42" s="30">
        <f t="shared" si="91"/>
        <v>0</v>
      </c>
      <c r="BA42" s="30">
        <f t="shared" si="91"/>
        <v>-1</v>
      </c>
      <c r="BB42" s="30">
        <f t="shared" si="91"/>
        <v>0</v>
      </c>
      <c r="BC42" s="32"/>
    </row>
    <row r="43" ht="13.5" customHeight="1">
      <c r="A43" s="1"/>
      <c r="B43" s="34" t="s">
        <v>35</v>
      </c>
      <c r="C43" s="23" t="s">
        <v>20</v>
      </c>
      <c r="D43" s="24">
        <f t="shared" si="20"/>
        <v>57</v>
      </c>
      <c r="E43" s="25">
        <f t="shared" ref="E43:J43" si="92">SUM(E44:E45)</f>
        <v>11</v>
      </c>
      <c r="F43" s="25">
        <f t="shared" si="92"/>
        <v>22</v>
      </c>
      <c r="G43" s="25">
        <f t="shared" si="92"/>
        <v>13</v>
      </c>
      <c r="H43" s="25">
        <f t="shared" si="92"/>
        <v>3</v>
      </c>
      <c r="I43" s="25">
        <f t="shared" si="92"/>
        <v>7</v>
      </c>
      <c r="J43" s="25">
        <f t="shared" si="92"/>
        <v>1</v>
      </c>
      <c r="K43" s="26"/>
      <c r="L43" s="1"/>
      <c r="M43" s="34" t="s">
        <v>35</v>
      </c>
      <c r="N43" s="23" t="s">
        <v>20</v>
      </c>
      <c r="O43" s="24">
        <f t="shared" si="21"/>
        <v>57</v>
      </c>
      <c r="P43" s="25">
        <v>11.0</v>
      </c>
      <c r="Q43" s="25">
        <v>22.0</v>
      </c>
      <c r="R43" s="25">
        <v>13.0</v>
      </c>
      <c r="S43" s="25">
        <v>3.0</v>
      </c>
      <c r="T43" s="25">
        <v>7.0</v>
      </c>
      <c r="U43" s="25">
        <v>1.0</v>
      </c>
      <c r="V43" s="26"/>
      <c r="W43" s="1"/>
      <c r="X43" s="34" t="s">
        <v>35</v>
      </c>
      <c r="Y43" s="23" t="s">
        <v>20</v>
      </c>
      <c r="Z43" s="24">
        <f t="shared" si="22"/>
        <v>57</v>
      </c>
      <c r="AA43" s="25">
        <f t="shared" ref="AA43:AF43" si="93">SUM(AA44:AA45)</f>
        <v>11</v>
      </c>
      <c r="AB43" s="25">
        <f t="shared" si="93"/>
        <v>22</v>
      </c>
      <c r="AC43" s="25">
        <f t="shared" si="93"/>
        <v>12</v>
      </c>
      <c r="AD43" s="25">
        <f t="shared" si="93"/>
        <v>3</v>
      </c>
      <c r="AE43" s="25">
        <f t="shared" si="93"/>
        <v>8</v>
      </c>
      <c r="AF43" s="25">
        <f t="shared" si="93"/>
        <v>1</v>
      </c>
      <c r="AG43" s="27"/>
      <c r="AH43" s="28"/>
      <c r="AI43" s="34" t="s">
        <v>35</v>
      </c>
      <c r="AJ43" s="23" t="s">
        <v>20</v>
      </c>
      <c r="AK43" s="24">
        <f t="shared" si="23"/>
        <v>57</v>
      </c>
      <c r="AL43" s="25">
        <f t="shared" ref="AL43:AQ43" si="94">SUM(AL44:AL45)</f>
        <v>11</v>
      </c>
      <c r="AM43" s="25">
        <f t="shared" si="94"/>
        <v>22</v>
      </c>
      <c r="AN43" s="25">
        <f t="shared" si="94"/>
        <v>12</v>
      </c>
      <c r="AO43" s="25">
        <f t="shared" si="94"/>
        <v>3</v>
      </c>
      <c r="AP43" s="25">
        <f t="shared" si="94"/>
        <v>8</v>
      </c>
      <c r="AQ43" s="25">
        <f t="shared" si="94"/>
        <v>1</v>
      </c>
      <c r="AR43" s="26"/>
      <c r="AS43" s="1"/>
      <c r="AT43" s="34" t="s">
        <v>35</v>
      </c>
      <c r="AU43" s="23" t="s">
        <v>20</v>
      </c>
      <c r="AV43" s="24">
        <f t="shared" ref="AV43:BB43" si="95">AK43-Z43</f>
        <v>0</v>
      </c>
      <c r="AW43" s="24">
        <f t="shared" si="95"/>
        <v>0</v>
      </c>
      <c r="AX43" s="24">
        <f t="shared" si="95"/>
        <v>0</v>
      </c>
      <c r="AY43" s="24">
        <f t="shared" si="95"/>
        <v>0</v>
      </c>
      <c r="AZ43" s="24">
        <f t="shared" si="95"/>
        <v>0</v>
      </c>
      <c r="BA43" s="24">
        <f t="shared" si="95"/>
        <v>0</v>
      </c>
      <c r="BB43" s="24">
        <f t="shared" si="95"/>
        <v>0</v>
      </c>
      <c r="BC43" s="26"/>
    </row>
    <row r="44" ht="13.5" customHeight="1">
      <c r="A44" s="1"/>
      <c r="B44" s="19"/>
      <c r="C44" s="29" t="s">
        <v>21</v>
      </c>
      <c r="D44" s="30">
        <f t="shared" si="20"/>
        <v>44</v>
      </c>
      <c r="E44" s="31">
        <v>11.0</v>
      </c>
      <c r="F44" s="31">
        <v>22.0</v>
      </c>
      <c r="G44" s="31">
        <v>5.0</v>
      </c>
      <c r="H44" s="31">
        <v>2.0</v>
      </c>
      <c r="I44" s="31">
        <v>3.0</v>
      </c>
      <c r="J44" s="31">
        <v>1.0</v>
      </c>
      <c r="K44" s="32"/>
      <c r="L44" s="1"/>
      <c r="M44" s="19"/>
      <c r="N44" s="29" t="s">
        <v>21</v>
      </c>
      <c r="O44" s="30">
        <f t="shared" si="21"/>
        <v>44</v>
      </c>
      <c r="P44" s="31">
        <v>11.0</v>
      </c>
      <c r="Q44" s="31">
        <v>22.0</v>
      </c>
      <c r="R44" s="31">
        <v>5.0</v>
      </c>
      <c r="S44" s="31">
        <v>2.0</v>
      </c>
      <c r="T44" s="31">
        <v>3.0</v>
      </c>
      <c r="U44" s="31">
        <v>1.0</v>
      </c>
      <c r="V44" s="32"/>
      <c r="W44" s="1"/>
      <c r="X44" s="19"/>
      <c r="Y44" s="29" t="s">
        <v>21</v>
      </c>
      <c r="Z44" s="30">
        <f t="shared" si="22"/>
        <v>44</v>
      </c>
      <c r="AA44" s="31">
        <v>11.0</v>
      </c>
      <c r="AB44" s="31">
        <v>22.0</v>
      </c>
      <c r="AC44" s="31">
        <v>5.0</v>
      </c>
      <c r="AD44" s="31">
        <v>2.0</v>
      </c>
      <c r="AE44" s="31">
        <v>3.0</v>
      </c>
      <c r="AF44" s="31">
        <v>1.0</v>
      </c>
      <c r="AG44" s="33"/>
      <c r="AH44" s="28"/>
      <c r="AI44" s="19"/>
      <c r="AJ44" s="29" t="s">
        <v>21</v>
      </c>
      <c r="AK44" s="30">
        <f t="shared" si="23"/>
        <v>44</v>
      </c>
      <c r="AL44" s="31">
        <v>11.0</v>
      </c>
      <c r="AM44" s="31">
        <v>22.0</v>
      </c>
      <c r="AN44" s="31">
        <v>5.0</v>
      </c>
      <c r="AO44" s="31">
        <v>2.0</v>
      </c>
      <c r="AP44" s="31">
        <v>3.0</v>
      </c>
      <c r="AQ44" s="31">
        <v>1.0</v>
      </c>
      <c r="AR44" s="32"/>
      <c r="AS44" s="1"/>
      <c r="AT44" s="19"/>
      <c r="AU44" s="29" t="s">
        <v>21</v>
      </c>
      <c r="AV44" s="30">
        <f t="shared" ref="AV44:BB44" si="96">AK44-Z44</f>
        <v>0</v>
      </c>
      <c r="AW44" s="30">
        <f t="shared" si="96"/>
        <v>0</v>
      </c>
      <c r="AX44" s="30">
        <f t="shared" si="96"/>
        <v>0</v>
      </c>
      <c r="AY44" s="30">
        <f t="shared" si="96"/>
        <v>0</v>
      </c>
      <c r="AZ44" s="30">
        <f t="shared" si="96"/>
        <v>0</v>
      </c>
      <c r="BA44" s="30">
        <f t="shared" si="96"/>
        <v>0</v>
      </c>
      <c r="BB44" s="30">
        <f t="shared" si="96"/>
        <v>0</v>
      </c>
      <c r="BC44" s="32"/>
    </row>
    <row r="45" ht="13.5" customHeight="1">
      <c r="A45" s="1"/>
      <c r="B45" s="21"/>
      <c r="C45" s="29" t="s">
        <v>22</v>
      </c>
      <c r="D45" s="30">
        <f t="shared" si="20"/>
        <v>13</v>
      </c>
      <c r="E45" s="31"/>
      <c r="F45" s="31"/>
      <c r="G45" s="31">
        <v>8.0</v>
      </c>
      <c r="H45" s="31">
        <v>1.0</v>
      </c>
      <c r="I45" s="31">
        <v>4.0</v>
      </c>
      <c r="J45" s="31"/>
      <c r="K45" s="32"/>
      <c r="L45" s="1"/>
      <c r="M45" s="21"/>
      <c r="N45" s="29" t="s">
        <v>22</v>
      </c>
      <c r="O45" s="30">
        <f t="shared" si="21"/>
        <v>13</v>
      </c>
      <c r="P45" s="31"/>
      <c r="Q45" s="31"/>
      <c r="R45" s="31">
        <v>8.0</v>
      </c>
      <c r="S45" s="31">
        <v>1.0</v>
      </c>
      <c r="T45" s="31">
        <v>4.0</v>
      </c>
      <c r="U45" s="31"/>
      <c r="V45" s="32"/>
      <c r="W45" s="1"/>
      <c r="X45" s="21"/>
      <c r="Y45" s="29" t="s">
        <v>22</v>
      </c>
      <c r="Z45" s="30">
        <f t="shared" si="22"/>
        <v>13</v>
      </c>
      <c r="AA45" s="31"/>
      <c r="AB45" s="31"/>
      <c r="AC45" s="31">
        <v>7.0</v>
      </c>
      <c r="AD45" s="31">
        <v>1.0</v>
      </c>
      <c r="AE45" s="31">
        <v>5.0</v>
      </c>
      <c r="AF45" s="31"/>
      <c r="AG45" s="33"/>
      <c r="AH45" s="28"/>
      <c r="AI45" s="21"/>
      <c r="AJ45" s="29" t="s">
        <v>22</v>
      </c>
      <c r="AK45" s="30">
        <f t="shared" si="23"/>
        <v>13</v>
      </c>
      <c r="AL45" s="31"/>
      <c r="AM45" s="31"/>
      <c r="AN45" s="31">
        <v>7.0</v>
      </c>
      <c r="AO45" s="31">
        <v>1.0</v>
      </c>
      <c r="AP45" s="31">
        <v>5.0</v>
      </c>
      <c r="AQ45" s="31"/>
      <c r="AR45" s="32"/>
      <c r="AS45" s="1"/>
      <c r="AT45" s="21"/>
      <c r="AU45" s="29" t="s">
        <v>22</v>
      </c>
      <c r="AV45" s="30">
        <f t="shared" ref="AV45:BB45" si="97">AK45-Z45</f>
        <v>0</v>
      </c>
      <c r="AW45" s="30">
        <f t="shared" si="97"/>
        <v>0</v>
      </c>
      <c r="AX45" s="30">
        <f t="shared" si="97"/>
        <v>0</v>
      </c>
      <c r="AY45" s="30">
        <f t="shared" si="97"/>
        <v>0</v>
      </c>
      <c r="AZ45" s="30">
        <f t="shared" si="97"/>
        <v>0</v>
      </c>
      <c r="BA45" s="30">
        <f t="shared" si="97"/>
        <v>0</v>
      </c>
      <c r="BB45" s="30">
        <f t="shared" si="97"/>
        <v>0</v>
      </c>
      <c r="BC45" s="32"/>
    </row>
    <row r="46" ht="13.5" customHeight="1">
      <c r="A46" s="1"/>
      <c r="B46" s="34" t="s">
        <v>36</v>
      </c>
      <c r="C46" s="23" t="s">
        <v>20</v>
      </c>
      <c r="D46" s="24">
        <f t="shared" si="20"/>
        <v>58</v>
      </c>
      <c r="E46" s="25">
        <f t="shared" ref="E46:J46" si="98">SUM(E47:E48)</f>
        <v>9</v>
      </c>
      <c r="F46" s="25">
        <f t="shared" si="98"/>
        <v>23</v>
      </c>
      <c r="G46" s="25">
        <f t="shared" si="98"/>
        <v>13</v>
      </c>
      <c r="H46" s="25">
        <f t="shared" si="98"/>
        <v>5</v>
      </c>
      <c r="I46" s="25">
        <f t="shared" si="98"/>
        <v>8</v>
      </c>
      <c r="J46" s="25">
        <f t="shared" si="98"/>
        <v>0</v>
      </c>
      <c r="K46" s="26"/>
      <c r="L46" s="1"/>
      <c r="M46" s="34" t="s">
        <v>36</v>
      </c>
      <c r="N46" s="23" t="s">
        <v>20</v>
      </c>
      <c r="O46" s="24">
        <f t="shared" si="21"/>
        <v>60</v>
      </c>
      <c r="P46" s="25">
        <v>9.0</v>
      </c>
      <c r="Q46" s="25">
        <v>24.0</v>
      </c>
      <c r="R46" s="25">
        <v>13.0</v>
      </c>
      <c r="S46" s="25">
        <v>5.0</v>
      </c>
      <c r="T46" s="25">
        <v>9.0</v>
      </c>
      <c r="U46" s="25"/>
      <c r="V46" s="26"/>
      <c r="W46" s="1"/>
      <c r="X46" s="34" t="s">
        <v>36</v>
      </c>
      <c r="Y46" s="23" t="s">
        <v>20</v>
      </c>
      <c r="Z46" s="24">
        <f t="shared" si="22"/>
        <v>62</v>
      </c>
      <c r="AA46" s="25">
        <f t="shared" ref="AA46:AF46" si="99">SUM(AA47:AA48)</f>
        <v>9</v>
      </c>
      <c r="AB46" s="25">
        <f t="shared" si="99"/>
        <v>25</v>
      </c>
      <c r="AC46" s="25">
        <f t="shared" si="99"/>
        <v>13</v>
      </c>
      <c r="AD46" s="25">
        <f t="shared" si="99"/>
        <v>6</v>
      </c>
      <c r="AE46" s="25">
        <f t="shared" si="99"/>
        <v>9</v>
      </c>
      <c r="AF46" s="25">
        <f t="shared" si="99"/>
        <v>0</v>
      </c>
      <c r="AG46" s="27"/>
      <c r="AH46" s="28"/>
      <c r="AI46" s="34" t="s">
        <v>36</v>
      </c>
      <c r="AJ46" s="23" t="s">
        <v>20</v>
      </c>
      <c r="AK46" s="24">
        <f t="shared" si="23"/>
        <v>63</v>
      </c>
      <c r="AL46" s="25">
        <f t="shared" ref="AL46:AQ46" si="100">SUM(AL47:AL48)</f>
        <v>10</v>
      </c>
      <c r="AM46" s="25">
        <f t="shared" si="100"/>
        <v>25</v>
      </c>
      <c r="AN46" s="25">
        <f t="shared" si="100"/>
        <v>13</v>
      </c>
      <c r="AO46" s="25">
        <f t="shared" si="100"/>
        <v>6</v>
      </c>
      <c r="AP46" s="25">
        <f t="shared" si="100"/>
        <v>9</v>
      </c>
      <c r="AQ46" s="25">
        <f t="shared" si="100"/>
        <v>0</v>
      </c>
      <c r="AR46" s="26"/>
      <c r="AS46" s="1"/>
      <c r="AT46" s="34" t="s">
        <v>36</v>
      </c>
      <c r="AU46" s="23" t="s">
        <v>20</v>
      </c>
      <c r="AV46" s="24">
        <f t="shared" ref="AV46:BB46" si="101">AK46-Z46</f>
        <v>1</v>
      </c>
      <c r="AW46" s="24">
        <f t="shared" si="101"/>
        <v>1</v>
      </c>
      <c r="AX46" s="24">
        <f t="shared" si="101"/>
        <v>0</v>
      </c>
      <c r="AY46" s="24">
        <f t="shared" si="101"/>
        <v>0</v>
      </c>
      <c r="AZ46" s="24">
        <f t="shared" si="101"/>
        <v>0</v>
      </c>
      <c r="BA46" s="24">
        <f t="shared" si="101"/>
        <v>0</v>
      </c>
      <c r="BB46" s="24">
        <f t="shared" si="101"/>
        <v>0</v>
      </c>
      <c r="BC46" s="26"/>
    </row>
    <row r="47" ht="13.5" customHeight="1">
      <c r="A47" s="1"/>
      <c r="B47" s="19"/>
      <c r="C47" s="29" t="s">
        <v>21</v>
      </c>
      <c r="D47" s="30">
        <f t="shared" si="20"/>
        <v>53</v>
      </c>
      <c r="E47" s="31">
        <v>9.0</v>
      </c>
      <c r="F47" s="31">
        <v>23.0</v>
      </c>
      <c r="G47" s="31">
        <v>10.0</v>
      </c>
      <c r="H47" s="31">
        <v>4.0</v>
      </c>
      <c r="I47" s="31">
        <v>7.0</v>
      </c>
      <c r="J47" s="31"/>
      <c r="K47" s="32"/>
      <c r="L47" s="1"/>
      <c r="M47" s="19"/>
      <c r="N47" s="29" t="s">
        <v>21</v>
      </c>
      <c r="O47" s="30">
        <f t="shared" si="21"/>
        <v>54</v>
      </c>
      <c r="P47" s="31">
        <v>9.0</v>
      </c>
      <c r="Q47" s="31">
        <v>24.0</v>
      </c>
      <c r="R47" s="31">
        <v>10.0</v>
      </c>
      <c r="S47" s="31">
        <v>4.0</v>
      </c>
      <c r="T47" s="31">
        <v>7.0</v>
      </c>
      <c r="U47" s="31"/>
      <c r="V47" s="32"/>
      <c r="W47" s="1"/>
      <c r="X47" s="19"/>
      <c r="Y47" s="29" t="s">
        <v>21</v>
      </c>
      <c r="Z47" s="30">
        <f t="shared" si="22"/>
        <v>56</v>
      </c>
      <c r="AA47" s="31">
        <v>9.0</v>
      </c>
      <c r="AB47" s="31">
        <v>25.0</v>
      </c>
      <c r="AC47" s="31">
        <v>10.0</v>
      </c>
      <c r="AD47" s="31">
        <v>5.0</v>
      </c>
      <c r="AE47" s="31">
        <v>7.0</v>
      </c>
      <c r="AF47" s="31"/>
      <c r="AG47" s="33"/>
      <c r="AH47" s="28"/>
      <c r="AI47" s="19"/>
      <c r="AJ47" s="29" t="s">
        <v>21</v>
      </c>
      <c r="AK47" s="30">
        <f t="shared" si="23"/>
        <v>57</v>
      </c>
      <c r="AL47" s="31">
        <v>10.0</v>
      </c>
      <c r="AM47" s="31">
        <v>25.0</v>
      </c>
      <c r="AN47" s="31">
        <v>10.0</v>
      </c>
      <c r="AO47" s="31">
        <v>5.0</v>
      </c>
      <c r="AP47" s="31">
        <v>7.0</v>
      </c>
      <c r="AQ47" s="31"/>
      <c r="AR47" s="32"/>
      <c r="AS47" s="1"/>
      <c r="AT47" s="19"/>
      <c r="AU47" s="29" t="s">
        <v>21</v>
      </c>
      <c r="AV47" s="30">
        <f t="shared" ref="AV47:BB47" si="102">AK47-Z47</f>
        <v>1</v>
      </c>
      <c r="AW47" s="30">
        <f t="shared" si="102"/>
        <v>1</v>
      </c>
      <c r="AX47" s="30">
        <f t="shared" si="102"/>
        <v>0</v>
      </c>
      <c r="AY47" s="30">
        <f t="shared" si="102"/>
        <v>0</v>
      </c>
      <c r="AZ47" s="30">
        <f t="shared" si="102"/>
        <v>0</v>
      </c>
      <c r="BA47" s="30">
        <f t="shared" si="102"/>
        <v>0</v>
      </c>
      <c r="BB47" s="30">
        <f t="shared" si="102"/>
        <v>0</v>
      </c>
      <c r="BC47" s="32"/>
    </row>
    <row r="48" ht="13.5" customHeight="1">
      <c r="A48" s="1"/>
      <c r="B48" s="21"/>
      <c r="C48" s="29" t="s">
        <v>22</v>
      </c>
      <c r="D48" s="30">
        <f t="shared" si="20"/>
        <v>5</v>
      </c>
      <c r="E48" s="31"/>
      <c r="F48" s="31"/>
      <c r="G48" s="31">
        <v>3.0</v>
      </c>
      <c r="H48" s="31">
        <v>1.0</v>
      </c>
      <c r="I48" s="31">
        <v>1.0</v>
      </c>
      <c r="J48" s="31"/>
      <c r="K48" s="32"/>
      <c r="L48" s="1"/>
      <c r="M48" s="21"/>
      <c r="N48" s="29" t="s">
        <v>22</v>
      </c>
      <c r="O48" s="30">
        <f t="shared" si="21"/>
        <v>6</v>
      </c>
      <c r="P48" s="31"/>
      <c r="Q48" s="31"/>
      <c r="R48" s="31">
        <v>3.0</v>
      </c>
      <c r="S48" s="31">
        <v>1.0</v>
      </c>
      <c r="T48" s="31">
        <v>2.0</v>
      </c>
      <c r="U48" s="31"/>
      <c r="V48" s="32"/>
      <c r="W48" s="1"/>
      <c r="X48" s="21"/>
      <c r="Y48" s="29" t="s">
        <v>22</v>
      </c>
      <c r="Z48" s="30">
        <f t="shared" si="22"/>
        <v>6</v>
      </c>
      <c r="AA48" s="31"/>
      <c r="AB48" s="31"/>
      <c r="AC48" s="31">
        <v>3.0</v>
      </c>
      <c r="AD48" s="31">
        <v>1.0</v>
      </c>
      <c r="AE48" s="31">
        <v>2.0</v>
      </c>
      <c r="AF48" s="31"/>
      <c r="AG48" s="33"/>
      <c r="AH48" s="28"/>
      <c r="AI48" s="21"/>
      <c r="AJ48" s="29" t="s">
        <v>22</v>
      </c>
      <c r="AK48" s="30">
        <f t="shared" si="23"/>
        <v>6</v>
      </c>
      <c r="AL48" s="31"/>
      <c r="AM48" s="31"/>
      <c r="AN48" s="31">
        <v>3.0</v>
      </c>
      <c r="AO48" s="31">
        <v>1.0</v>
      </c>
      <c r="AP48" s="31">
        <v>2.0</v>
      </c>
      <c r="AQ48" s="31"/>
      <c r="AR48" s="32"/>
      <c r="AS48" s="1"/>
      <c r="AT48" s="21"/>
      <c r="AU48" s="29" t="s">
        <v>22</v>
      </c>
      <c r="AV48" s="30">
        <f t="shared" ref="AV48:BB48" si="103">AK48-Z48</f>
        <v>0</v>
      </c>
      <c r="AW48" s="30">
        <f t="shared" si="103"/>
        <v>0</v>
      </c>
      <c r="AX48" s="30">
        <f t="shared" si="103"/>
        <v>0</v>
      </c>
      <c r="AY48" s="30">
        <f t="shared" si="103"/>
        <v>0</v>
      </c>
      <c r="AZ48" s="30">
        <f t="shared" si="103"/>
        <v>0</v>
      </c>
      <c r="BA48" s="30">
        <f t="shared" si="103"/>
        <v>0</v>
      </c>
      <c r="BB48" s="30">
        <f t="shared" si="103"/>
        <v>0</v>
      </c>
      <c r="BC48" s="32"/>
    </row>
    <row r="49" ht="13.5" customHeight="1">
      <c r="A49" s="1"/>
      <c r="B49" s="34" t="s">
        <v>37</v>
      </c>
      <c r="C49" s="23" t="s">
        <v>20</v>
      </c>
      <c r="D49" s="24">
        <f t="shared" si="20"/>
        <v>62</v>
      </c>
      <c r="E49" s="25">
        <f t="shared" ref="E49:J49" si="104">SUM(E50:E51)</f>
        <v>16</v>
      </c>
      <c r="F49" s="25">
        <f t="shared" si="104"/>
        <v>18</v>
      </c>
      <c r="G49" s="25">
        <f t="shared" si="104"/>
        <v>13</v>
      </c>
      <c r="H49" s="25">
        <f t="shared" si="104"/>
        <v>2</v>
      </c>
      <c r="I49" s="25">
        <f t="shared" si="104"/>
        <v>13</v>
      </c>
      <c r="J49" s="25">
        <f t="shared" si="104"/>
        <v>0</v>
      </c>
      <c r="K49" s="26"/>
      <c r="L49" s="1"/>
      <c r="M49" s="34" t="s">
        <v>37</v>
      </c>
      <c r="N49" s="23" t="s">
        <v>20</v>
      </c>
      <c r="O49" s="24">
        <f t="shared" si="21"/>
        <v>62</v>
      </c>
      <c r="P49" s="25">
        <v>16.0</v>
      </c>
      <c r="Q49" s="25">
        <v>18.0</v>
      </c>
      <c r="R49" s="25">
        <v>13.0</v>
      </c>
      <c r="S49" s="25">
        <v>2.0</v>
      </c>
      <c r="T49" s="25">
        <v>13.0</v>
      </c>
      <c r="U49" s="25"/>
      <c r="V49" s="26"/>
      <c r="W49" s="1"/>
      <c r="X49" s="34" t="s">
        <v>37</v>
      </c>
      <c r="Y49" s="23" t="s">
        <v>20</v>
      </c>
      <c r="Z49" s="24">
        <f t="shared" si="22"/>
        <v>61</v>
      </c>
      <c r="AA49" s="25">
        <f t="shared" ref="AA49:AF49" si="105">SUM(AA50:AA51)</f>
        <v>16</v>
      </c>
      <c r="AB49" s="25">
        <f t="shared" si="105"/>
        <v>19</v>
      </c>
      <c r="AC49" s="25">
        <f t="shared" si="105"/>
        <v>12</v>
      </c>
      <c r="AD49" s="25">
        <f t="shared" si="105"/>
        <v>1</v>
      </c>
      <c r="AE49" s="25">
        <f t="shared" si="105"/>
        <v>13</v>
      </c>
      <c r="AF49" s="25">
        <f t="shared" si="105"/>
        <v>0</v>
      </c>
      <c r="AG49" s="27"/>
      <c r="AH49" s="28"/>
      <c r="AI49" s="34" t="s">
        <v>37</v>
      </c>
      <c r="AJ49" s="23" t="s">
        <v>20</v>
      </c>
      <c r="AK49" s="24">
        <f t="shared" si="23"/>
        <v>58</v>
      </c>
      <c r="AL49" s="25">
        <f t="shared" ref="AL49:AQ49" si="106">SUM(AL50:AL51)</f>
        <v>16</v>
      </c>
      <c r="AM49" s="25">
        <f t="shared" si="106"/>
        <v>19</v>
      </c>
      <c r="AN49" s="25">
        <f t="shared" si="106"/>
        <v>11</v>
      </c>
      <c r="AO49" s="25">
        <f t="shared" si="106"/>
        <v>1</v>
      </c>
      <c r="AP49" s="25">
        <f t="shared" si="106"/>
        <v>11</v>
      </c>
      <c r="AQ49" s="25">
        <f t="shared" si="106"/>
        <v>0</v>
      </c>
      <c r="AR49" s="26"/>
      <c r="AS49" s="1"/>
      <c r="AT49" s="34" t="s">
        <v>37</v>
      </c>
      <c r="AU49" s="23" t="s">
        <v>20</v>
      </c>
      <c r="AV49" s="24">
        <f t="shared" ref="AV49:BB49" si="107">AK49-Z49</f>
        <v>-3</v>
      </c>
      <c r="AW49" s="24">
        <f t="shared" si="107"/>
        <v>0</v>
      </c>
      <c r="AX49" s="24">
        <f t="shared" si="107"/>
        <v>0</v>
      </c>
      <c r="AY49" s="24">
        <f t="shared" si="107"/>
        <v>-1</v>
      </c>
      <c r="AZ49" s="24">
        <f t="shared" si="107"/>
        <v>0</v>
      </c>
      <c r="BA49" s="24">
        <f t="shared" si="107"/>
        <v>-2</v>
      </c>
      <c r="BB49" s="24">
        <f t="shared" si="107"/>
        <v>0</v>
      </c>
      <c r="BC49" s="26"/>
    </row>
    <row r="50" ht="13.5" customHeight="1">
      <c r="A50" s="1"/>
      <c r="B50" s="19"/>
      <c r="C50" s="29" t="s">
        <v>21</v>
      </c>
      <c r="D50" s="30">
        <f t="shared" si="20"/>
        <v>47</v>
      </c>
      <c r="E50" s="31">
        <v>16.0</v>
      </c>
      <c r="F50" s="31">
        <v>17.0</v>
      </c>
      <c r="G50" s="31">
        <v>10.0</v>
      </c>
      <c r="H50" s="31">
        <v>2.0</v>
      </c>
      <c r="I50" s="31">
        <v>2.0</v>
      </c>
      <c r="J50" s="31"/>
      <c r="K50" s="32"/>
      <c r="L50" s="1"/>
      <c r="M50" s="19"/>
      <c r="N50" s="29" t="s">
        <v>21</v>
      </c>
      <c r="O50" s="30">
        <f t="shared" si="21"/>
        <v>48</v>
      </c>
      <c r="P50" s="31">
        <v>16.0</v>
      </c>
      <c r="Q50" s="31">
        <v>17.0</v>
      </c>
      <c r="R50" s="31">
        <v>11.0</v>
      </c>
      <c r="S50" s="31">
        <v>2.0</v>
      </c>
      <c r="T50" s="31">
        <v>2.0</v>
      </c>
      <c r="U50" s="31"/>
      <c r="V50" s="32"/>
      <c r="W50" s="1"/>
      <c r="X50" s="19"/>
      <c r="Y50" s="29" t="s">
        <v>21</v>
      </c>
      <c r="Z50" s="30">
        <f t="shared" si="22"/>
        <v>47</v>
      </c>
      <c r="AA50" s="31">
        <v>16.0</v>
      </c>
      <c r="AB50" s="31">
        <v>18.0</v>
      </c>
      <c r="AC50" s="31">
        <v>10.0</v>
      </c>
      <c r="AD50" s="31">
        <v>1.0</v>
      </c>
      <c r="AE50" s="31">
        <v>2.0</v>
      </c>
      <c r="AF50" s="31"/>
      <c r="AG50" s="33"/>
      <c r="AH50" s="28"/>
      <c r="AI50" s="19"/>
      <c r="AJ50" s="29" t="s">
        <v>21</v>
      </c>
      <c r="AK50" s="30">
        <f t="shared" si="23"/>
        <v>46</v>
      </c>
      <c r="AL50" s="31">
        <v>16.0</v>
      </c>
      <c r="AM50" s="31">
        <v>18.0</v>
      </c>
      <c r="AN50" s="31">
        <v>9.0</v>
      </c>
      <c r="AO50" s="31">
        <v>1.0</v>
      </c>
      <c r="AP50" s="31">
        <v>2.0</v>
      </c>
      <c r="AQ50" s="31"/>
      <c r="AR50" s="32"/>
      <c r="AS50" s="1"/>
      <c r="AT50" s="19"/>
      <c r="AU50" s="29" t="s">
        <v>21</v>
      </c>
      <c r="AV50" s="30">
        <f t="shared" ref="AV50:BB50" si="108">AK50-Z50</f>
        <v>-1</v>
      </c>
      <c r="AW50" s="30">
        <f t="shared" si="108"/>
        <v>0</v>
      </c>
      <c r="AX50" s="30">
        <f t="shared" si="108"/>
        <v>0</v>
      </c>
      <c r="AY50" s="30">
        <f t="shared" si="108"/>
        <v>-1</v>
      </c>
      <c r="AZ50" s="30">
        <f t="shared" si="108"/>
        <v>0</v>
      </c>
      <c r="BA50" s="30">
        <f t="shared" si="108"/>
        <v>0</v>
      </c>
      <c r="BB50" s="30">
        <f t="shared" si="108"/>
        <v>0</v>
      </c>
      <c r="BC50" s="32"/>
    </row>
    <row r="51" ht="13.5" customHeight="1">
      <c r="A51" s="1"/>
      <c r="B51" s="21"/>
      <c r="C51" s="29" t="s">
        <v>22</v>
      </c>
      <c r="D51" s="30">
        <f t="shared" si="20"/>
        <v>15</v>
      </c>
      <c r="E51" s="31"/>
      <c r="F51" s="31">
        <v>1.0</v>
      </c>
      <c r="G51" s="31">
        <v>3.0</v>
      </c>
      <c r="H51" s="31"/>
      <c r="I51" s="31">
        <v>11.0</v>
      </c>
      <c r="J51" s="31"/>
      <c r="K51" s="32"/>
      <c r="L51" s="1"/>
      <c r="M51" s="21"/>
      <c r="N51" s="29" t="s">
        <v>22</v>
      </c>
      <c r="O51" s="30">
        <f t="shared" si="21"/>
        <v>14</v>
      </c>
      <c r="P51" s="31"/>
      <c r="Q51" s="31">
        <v>1.0</v>
      </c>
      <c r="R51" s="31">
        <v>2.0</v>
      </c>
      <c r="S51" s="31"/>
      <c r="T51" s="31">
        <v>11.0</v>
      </c>
      <c r="U51" s="31"/>
      <c r="V51" s="32"/>
      <c r="W51" s="1"/>
      <c r="X51" s="21"/>
      <c r="Y51" s="29" t="s">
        <v>22</v>
      </c>
      <c r="Z51" s="30">
        <f t="shared" si="22"/>
        <v>14</v>
      </c>
      <c r="AA51" s="31"/>
      <c r="AB51" s="31">
        <v>1.0</v>
      </c>
      <c r="AC51" s="31">
        <v>2.0</v>
      </c>
      <c r="AD51" s="31"/>
      <c r="AE51" s="31">
        <v>11.0</v>
      </c>
      <c r="AF51" s="31"/>
      <c r="AG51" s="33"/>
      <c r="AH51" s="28"/>
      <c r="AI51" s="21"/>
      <c r="AJ51" s="29" t="s">
        <v>22</v>
      </c>
      <c r="AK51" s="30">
        <f t="shared" si="23"/>
        <v>12</v>
      </c>
      <c r="AL51" s="31"/>
      <c r="AM51" s="31">
        <v>1.0</v>
      </c>
      <c r="AN51" s="31">
        <v>2.0</v>
      </c>
      <c r="AO51" s="31"/>
      <c r="AP51" s="31">
        <v>9.0</v>
      </c>
      <c r="AQ51" s="31"/>
      <c r="AR51" s="32"/>
      <c r="AS51" s="1"/>
      <c r="AT51" s="21"/>
      <c r="AU51" s="29" t="s">
        <v>22</v>
      </c>
      <c r="AV51" s="30">
        <f t="shared" ref="AV51:BB51" si="109">AK51-Z51</f>
        <v>-2</v>
      </c>
      <c r="AW51" s="30">
        <f t="shared" si="109"/>
        <v>0</v>
      </c>
      <c r="AX51" s="30">
        <f t="shared" si="109"/>
        <v>0</v>
      </c>
      <c r="AY51" s="30">
        <f t="shared" si="109"/>
        <v>0</v>
      </c>
      <c r="AZ51" s="30">
        <f t="shared" si="109"/>
        <v>0</v>
      </c>
      <c r="BA51" s="30">
        <f t="shared" si="109"/>
        <v>-2</v>
      </c>
      <c r="BB51" s="30">
        <f t="shared" si="109"/>
        <v>0</v>
      </c>
      <c r="BC51" s="32"/>
    </row>
    <row r="52" ht="13.5" customHeight="1">
      <c r="A52" s="1"/>
      <c r="B52" s="34" t="s">
        <v>38</v>
      </c>
      <c r="C52" s="23" t="s">
        <v>20</v>
      </c>
      <c r="D52" s="24">
        <f t="shared" si="20"/>
        <v>75</v>
      </c>
      <c r="E52" s="25">
        <f t="shared" ref="E52:J52" si="110">SUM(E53:E54)</f>
        <v>18</v>
      </c>
      <c r="F52" s="25">
        <f t="shared" si="110"/>
        <v>18</v>
      </c>
      <c r="G52" s="25">
        <f t="shared" si="110"/>
        <v>23</v>
      </c>
      <c r="H52" s="25">
        <f t="shared" si="110"/>
        <v>4</v>
      </c>
      <c r="I52" s="25">
        <f t="shared" si="110"/>
        <v>12</v>
      </c>
      <c r="J52" s="25">
        <f t="shared" si="110"/>
        <v>0</v>
      </c>
      <c r="K52" s="26"/>
      <c r="L52" s="1"/>
      <c r="M52" s="34" t="s">
        <v>38</v>
      </c>
      <c r="N52" s="23" t="s">
        <v>20</v>
      </c>
      <c r="O52" s="24">
        <f t="shared" si="21"/>
        <v>78</v>
      </c>
      <c r="P52" s="25">
        <v>18.0</v>
      </c>
      <c r="Q52" s="25">
        <v>19.0</v>
      </c>
      <c r="R52" s="25">
        <v>23.0</v>
      </c>
      <c r="S52" s="25">
        <v>4.0</v>
      </c>
      <c r="T52" s="25">
        <v>14.0</v>
      </c>
      <c r="U52" s="25"/>
      <c r="V52" s="26"/>
      <c r="W52" s="1"/>
      <c r="X52" s="34" t="s">
        <v>38</v>
      </c>
      <c r="Y52" s="23" t="s">
        <v>20</v>
      </c>
      <c r="Z52" s="24">
        <f t="shared" si="22"/>
        <v>75</v>
      </c>
      <c r="AA52" s="25">
        <f t="shared" ref="AA52:AF52" si="111">SUM(AA53:AA54)</f>
        <v>18</v>
      </c>
      <c r="AB52" s="25">
        <f t="shared" si="111"/>
        <v>19</v>
      </c>
      <c r="AC52" s="25">
        <f t="shared" si="111"/>
        <v>20</v>
      </c>
      <c r="AD52" s="25">
        <f t="shared" si="111"/>
        <v>4</v>
      </c>
      <c r="AE52" s="25">
        <f t="shared" si="111"/>
        <v>14</v>
      </c>
      <c r="AF52" s="25">
        <f t="shared" si="111"/>
        <v>0</v>
      </c>
      <c r="AG52" s="27"/>
      <c r="AH52" s="28"/>
      <c r="AI52" s="34" t="s">
        <v>38</v>
      </c>
      <c r="AJ52" s="23" t="s">
        <v>20</v>
      </c>
      <c r="AK52" s="24">
        <f t="shared" si="23"/>
        <v>77</v>
      </c>
      <c r="AL52" s="25">
        <f t="shared" ref="AL52:AQ52" si="112">SUM(AL53:AL54)</f>
        <v>18</v>
      </c>
      <c r="AM52" s="25">
        <f t="shared" si="112"/>
        <v>21</v>
      </c>
      <c r="AN52" s="25">
        <f t="shared" si="112"/>
        <v>20</v>
      </c>
      <c r="AO52" s="25">
        <f t="shared" si="112"/>
        <v>4</v>
      </c>
      <c r="AP52" s="25">
        <f t="shared" si="112"/>
        <v>14</v>
      </c>
      <c r="AQ52" s="25">
        <f t="shared" si="112"/>
        <v>0</v>
      </c>
      <c r="AR52" s="26"/>
      <c r="AS52" s="1"/>
      <c r="AT52" s="34" t="s">
        <v>38</v>
      </c>
      <c r="AU52" s="23" t="s">
        <v>20</v>
      </c>
      <c r="AV52" s="24">
        <f t="shared" ref="AV52:BB52" si="113">AK52-Z52</f>
        <v>2</v>
      </c>
      <c r="AW52" s="24">
        <f t="shared" si="113"/>
        <v>0</v>
      </c>
      <c r="AX52" s="24">
        <f t="shared" si="113"/>
        <v>2</v>
      </c>
      <c r="AY52" s="24">
        <f t="shared" si="113"/>
        <v>0</v>
      </c>
      <c r="AZ52" s="24">
        <f t="shared" si="113"/>
        <v>0</v>
      </c>
      <c r="BA52" s="24">
        <f t="shared" si="113"/>
        <v>0</v>
      </c>
      <c r="BB52" s="24">
        <f t="shared" si="113"/>
        <v>0</v>
      </c>
      <c r="BC52" s="26"/>
    </row>
    <row r="53" ht="13.5" customHeight="1">
      <c r="A53" s="1"/>
      <c r="B53" s="19"/>
      <c r="C53" s="29" t="s">
        <v>21</v>
      </c>
      <c r="D53" s="30">
        <f t="shared" si="20"/>
        <v>43</v>
      </c>
      <c r="E53" s="31">
        <v>18.0</v>
      </c>
      <c r="F53" s="31">
        <v>18.0</v>
      </c>
      <c r="G53" s="31">
        <v>4.0</v>
      </c>
      <c r="H53" s="31">
        <v>2.0</v>
      </c>
      <c r="I53" s="31">
        <v>1.0</v>
      </c>
      <c r="J53" s="31"/>
      <c r="K53" s="32"/>
      <c r="L53" s="1"/>
      <c r="M53" s="19"/>
      <c r="N53" s="29" t="s">
        <v>21</v>
      </c>
      <c r="O53" s="30">
        <f t="shared" si="21"/>
        <v>44</v>
      </c>
      <c r="P53" s="31">
        <v>18.0</v>
      </c>
      <c r="Q53" s="31">
        <v>19.0</v>
      </c>
      <c r="R53" s="31">
        <v>4.0</v>
      </c>
      <c r="S53" s="31">
        <v>2.0</v>
      </c>
      <c r="T53" s="31">
        <v>1.0</v>
      </c>
      <c r="U53" s="31"/>
      <c r="V53" s="32"/>
      <c r="W53" s="1"/>
      <c r="X53" s="19"/>
      <c r="Y53" s="29" t="s">
        <v>21</v>
      </c>
      <c r="Z53" s="30">
        <f t="shared" si="22"/>
        <v>43</v>
      </c>
      <c r="AA53" s="31">
        <v>18.0</v>
      </c>
      <c r="AB53" s="31">
        <v>19.0</v>
      </c>
      <c r="AC53" s="31">
        <v>3.0</v>
      </c>
      <c r="AD53" s="31">
        <v>2.0</v>
      </c>
      <c r="AE53" s="31">
        <v>1.0</v>
      </c>
      <c r="AF53" s="31"/>
      <c r="AG53" s="33"/>
      <c r="AH53" s="28"/>
      <c r="AI53" s="19"/>
      <c r="AJ53" s="29" t="s">
        <v>21</v>
      </c>
      <c r="AK53" s="30">
        <f t="shared" si="23"/>
        <v>46</v>
      </c>
      <c r="AL53" s="31">
        <v>18.0</v>
      </c>
      <c r="AM53" s="31">
        <v>21.0</v>
      </c>
      <c r="AN53" s="31">
        <v>3.0</v>
      </c>
      <c r="AO53" s="31">
        <v>2.0</v>
      </c>
      <c r="AP53" s="31">
        <v>2.0</v>
      </c>
      <c r="AQ53" s="31"/>
      <c r="AR53" s="32"/>
      <c r="AS53" s="1"/>
      <c r="AT53" s="19"/>
      <c r="AU53" s="29" t="s">
        <v>21</v>
      </c>
      <c r="AV53" s="30">
        <f t="shared" ref="AV53:BB53" si="114">AK53-Z53</f>
        <v>3</v>
      </c>
      <c r="AW53" s="30">
        <f t="shared" si="114"/>
        <v>0</v>
      </c>
      <c r="AX53" s="30">
        <f t="shared" si="114"/>
        <v>2</v>
      </c>
      <c r="AY53" s="30">
        <f t="shared" si="114"/>
        <v>0</v>
      </c>
      <c r="AZ53" s="30">
        <f t="shared" si="114"/>
        <v>0</v>
      </c>
      <c r="BA53" s="30">
        <f t="shared" si="114"/>
        <v>1</v>
      </c>
      <c r="BB53" s="30">
        <f t="shared" si="114"/>
        <v>0</v>
      </c>
      <c r="BC53" s="32"/>
    </row>
    <row r="54" ht="13.5" customHeight="1">
      <c r="A54" s="1"/>
      <c r="B54" s="21"/>
      <c r="C54" s="29" t="s">
        <v>22</v>
      </c>
      <c r="D54" s="30">
        <f t="shared" si="20"/>
        <v>32</v>
      </c>
      <c r="E54" s="31"/>
      <c r="F54" s="31"/>
      <c r="G54" s="31">
        <v>19.0</v>
      </c>
      <c r="H54" s="31">
        <v>2.0</v>
      </c>
      <c r="I54" s="31">
        <v>11.0</v>
      </c>
      <c r="J54" s="31"/>
      <c r="K54" s="32"/>
      <c r="L54" s="1"/>
      <c r="M54" s="21"/>
      <c r="N54" s="29" t="s">
        <v>22</v>
      </c>
      <c r="O54" s="30">
        <f t="shared" si="21"/>
        <v>34</v>
      </c>
      <c r="P54" s="31"/>
      <c r="Q54" s="31"/>
      <c r="R54" s="31">
        <v>19.0</v>
      </c>
      <c r="S54" s="31">
        <v>2.0</v>
      </c>
      <c r="T54" s="31">
        <v>13.0</v>
      </c>
      <c r="U54" s="31"/>
      <c r="V54" s="32"/>
      <c r="W54" s="1"/>
      <c r="X54" s="21"/>
      <c r="Y54" s="29" t="s">
        <v>22</v>
      </c>
      <c r="Z54" s="30">
        <f t="shared" si="22"/>
        <v>32</v>
      </c>
      <c r="AA54" s="31"/>
      <c r="AB54" s="31"/>
      <c r="AC54" s="31">
        <v>17.0</v>
      </c>
      <c r="AD54" s="31">
        <v>2.0</v>
      </c>
      <c r="AE54" s="31">
        <v>13.0</v>
      </c>
      <c r="AF54" s="31"/>
      <c r="AG54" s="33"/>
      <c r="AH54" s="28"/>
      <c r="AI54" s="21"/>
      <c r="AJ54" s="29" t="s">
        <v>22</v>
      </c>
      <c r="AK54" s="30">
        <f t="shared" si="23"/>
        <v>31</v>
      </c>
      <c r="AL54" s="31"/>
      <c r="AM54" s="31"/>
      <c r="AN54" s="31">
        <v>17.0</v>
      </c>
      <c r="AO54" s="31">
        <v>2.0</v>
      </c>
      <c r="AP54" s="31">
        <v>12.0</v>
      </c>
      <c r="AQ54" s="31"/>
      <c r="AR54" s="32"/>
      <c r="AS54" s="1"/>
      <c r="AT54" s="21"/>
      <c r="AU54" s="29" t="s">
        <v>22</v>
      </c>
      <c r="AV54" s="30">
        <f t="shared" ref="AV54:BB54" si="115">AK54-Z54</f>
        <v>-1</v>
      </c>
      <c r="AW54" s="30">
        <f t="shared" si="115"/>
        <v>0</v>
      </c>
      <c r="AX54" s="30">
        <f t="shared" si="115"/>
        <v>0</v>
      </c>
      <c r="AY54" s="30">
        <f t="shared" si="115"/>
        <v>0</v>
      </c>
      <c r="AZ54" s="30">
        <f t="shared" si="115"/>
        <v>0</v>
      </c>
      <c r="BA54" s="30">
        <f t="shared" si="115"/>
        <v>-1</v>
      </c>
      <c r="BB54" s="30">
        <f t="shared" si="115"/>
        <v>0</v>
      </c>
      <c r="BC54" s="32"/>
    </row>
    <row r="55" ht="13.5" customHeight="1">
      <c r="A55" s="1"/>
      <c r="B55" s="34" t="s">
        <v>39</v>
      </c>
      <c r="C55" s="23" t="s">
        <v>20</v>
      </c>
      <c r="D55" s="24">
        <f t="shared" si="20"/>
        <v>50</v>
      </c>
      <c r="E55" s="25">
        <f t="shared" ref="E55:J55" si="116">SUM(E56:E57)</f>
        <v>3</v>
      </c>
      <c r="F55" s="25">
        <f t="shared" si="116"/>
        <v>24</v>
      </c>
      <c r="G55" s="25">
        <f t="shared" si="116"/>
        <v>4</v>
      </c>
      <c r="H55" s="25">
        <f t="shared" si="116"/>
        <v>2</v>
      </c>
      <c r="I55" s="25">
        <f t="shared" si="116"/>
        <v>17</v>
      </c>
      <c r="J55" s="25">
        <f t="shared" si="116"/>
        <v>0</v>
      </c>
      <c r="K55" s="26"/>
      <c r="L55" s="1"/>
      <c r="M55" s="34" t="s">
        <v>39</v>
      </c>
      <c r="N55" s="23" t="s">
        <v>20</v>
      </c>
      <c r="O55" s="24">
        <f t="shared" si="21"/>
        <v>50</v>
      </c>
      <c r="P55" s="25">
        <v>3.0</v>
      </c>
      <c r="Q55" s="25">
        <v>25.0</v>
      </c>
      <c r="R55" s="25">
        <v>4.0</v>
      </c>
      <c r="S55" s="25">
        <v>2.0</v>
      </c>
      <c r="T55" s="25">
        <v>16.0</v>
      </c>
      <c r="U55" s="25"/>
      <c r="V55" s="26"/>
      <c r="W55" s="1"/>
      <c r="X55" s="34" t="s">
        <v>39</v>
      </c>
      <c r="Y55" s="23" t="s">
        <v>20</v>
      </c>
      <c r="Z55" s="24">
        <f t="shared" si="22"/>
        <v>49</v>
      </c>
      <c r="AA55" s="25">
        <f t="shared" ref="AA55:AF55" si="117">SUM(AA56:AA57)</f>
        <v>3</v>
      </c>
      <c r="AB55" s="25">
        <f t="shared" si="117"/>
        <v>25</v>
      </c>
      <c r="AC55" s="25">
        <f t="shared" si="117"/>
        <v>4</v>
      </c>
      <c r="AD55" s="25">
        <f t="shared" si="117"/>
        <v>2</v>
      </c>
      <c r="AE55" s="25">
        <f t="shared" si="117"/>
        <v>15</v>
      </c>
      <c r="AF55" s="25">
        <f t="shared" si="117"/>
        <v>0</v>
      </c>
      <c r="AG55" s="27"/>
      <c r="AH55" s="28"/>
      <c r="AI55" s="34" t="s">
        <v>39</v>
      </c>
      <c r="AJ55" s="23" t="s">
        <v>20</v>
      </c>
      <c r="AK55" s="24">
        <f t="shared" si="23"/>
        <v>48</v>
      </c>
      <c r="AL55" s="25">
        <f t="shared" ref="AL55:AQ55" si="118">SUM(AL56:AL57)</f>
        <v>3</v>
      </c>
      <c r="AM55" s="25">
        <f t="shared" si="118"/>
        <v>25</v>
      </c>
      <c r="AN55" s="25">
        <f t="shared" si="118"/>
        <v>4</v>
      </c>
      <c r="AO55" s="25">
        <f t="shared" si="118"/>
        <v>2</v>
      </c>
      <c r="AP55" s="25">
        <f t="shared" si="118"/>
        <v>14</v>
      </c>
      <c r="AQ55" s="25">
        <f t="shared" si="118"/>
        <v>0</v>
      </c>
      <c r="AR55" s="26"/>
      <c r="AS55" s="1"/>
      <c r="AT55" s="34" t="s">
        <v>39</v>
      </c>
      <c r="AU55" s="23" t="s">
        <v>20</v>
      </c>
      <c r="AV55" s="24">
        <f t="shared" ref="AV55:BB55" si="119">AK55-Z55</f>
        <v>-1</v>
      </c>
      <c r="AW55" s="24">
        <f t="shared" si="119"/>
        <v>0</v>
      </c>
      <c r="AX55" s="24">
        <f t="shared" si="119"/>
        <v>0</v>
      </c>
      <c r="AY55" s="24">
        <f t="shared" si="119"/>
        <v>0</v>
      </c>
      <c r="AZ55" s="24">
        <f t="shared" si="119"/>
        <v>0</v>
      </c>
      <c r="BA55" s="24">
        <f t="shared" si="119"/>
        <v>-1</v>
      </c>
      <c r="BB55" s="24">
        <f t="shared" si="119"/>
        <v>0</v>
      </c>
      <c r="BC55" s="26"/>
    </row>
    <row r="56" ht="13.5" customHeight="1">
      <c r="A56" s="1"/>
      <c r="B56" s="19"/>
      <c r="C56" s="29" t="s">
        <v>21</v>
      </c>
      <c r="D56" s="30">
        <f t="shared" si="20"/>
        <v>34</v>
      </c>
      <c r="E56" s="31">
        <v>3.0</v>
      </c>
      <c r="F56" s="31">
        <v>24.0</v>
      </c>
      <c r="G56" s="31">
        <v>2.0</v>
      </c>
      <c r="H56" s="31">
        <v>2.0</v>
      </c>
      <c r="I56" s="31">
        <v>3.0</v>
      </c>
      <c r="J56" s="31"/>
      <c r="K56" s="32"/>
      <c r="L56" s="1"/>
      <c r="M56" s="19"/>
      <c r="N56" s="29" t="s">
        <v>21</v>
      </c>
      <c r="O56" s="30">
        <f t="shared" si="21"/>
        <v>35</v>
      </c>
      <c r="P56" s="31">
        <v>3.0</v>
      </c>
      <c r="Q56" s="31">
        <v>25.0</v>
      </c>
      <c r="R56" s="31">
        <v>2.0</v>
      </c>
      <c r="S56" s="31">
        <v>2.0</v>
      </c>
      <c r="T56" s="31">
        <v>3.0</v>
      </c>
      <c r="U56" s="31"/>
      <c r="V56" s="32"/>
      <c r="W56" s="1"/>
      <c r="X56" s="19"/>
      <c r="Y56" s="29" t="s">
        <v>21</v>
      </c>
      <c r="Z56" s="30">
        <f t="shared" si="22"/>
        <v>35</v>
      </c>
      <c r="AA56" s="31">
        <v>3.0</v>
      </c>
      <c r="AB56" s="31">
        <v>25.0</v>
      </c>
      <c r="AC56" s="31">
        <v>2.0</v>
      </c>
      <c r="AD56" s="31">
        <v>2.0</v>
      </c>
      <c r="AE56" s="31">
        <v>3.0</v>
      </c>
      <c r="AF56" s="31"/>
      <c r="AG56" s="33"/>
      <c r="AH56" s="28"/>
      <c r="AI56" s="19"/>
      <c r="AJ56" s="29" t="s">
        <v>21</v>
      </c>
      <c r="AK56" s="30">
        <f t="shared" si="23"/>
        <v>35</v>
      </c>
      <c r="AL56" s="31">
        <v>3.0</v>
      </c>
      <c r="AM56" s="31">
        <v>25.0</v>
      </c>
      <c r="AN56" s="31">
        <v>2.0</v>
      </c>
      <c r="AO56" s="31">
        <v>2.0</v>
      </c>
      <c r="AP56" s="31">
        <v>3.0</v>
      </c>
      <c r="AQ56" s="31"/>
      <c r="AR56" s="32"/>
      <c r="AS56" s="1"/>
      <c r="AT56" s="19"/>
      <c r="AU56" s="29" t="s">
        <v>21</v>
      </c>
      <c r="AV56" s="30">
        <f t="shared" ref="AV56:BB56" si="120">AK56-Z56</f>
        <v>0</v>
      </c>
      <c r="AW56" s="30">
        <f t="shared" si="120"/>
        <v>0</v>
      </c>
      <c r="AX56" s="30">
        <f t="shared" si="120"/>
        <v>0</v>
      </c>
      <c r="AY56" s="30">
        <f t="shared" si="120"/>
        <v>0</v>
      </c>
      <c r="AZ56" s="30">
        <f t="shared" si="120"/>
        <v>0</v>
      </c>
      <c r="BA56" s="30">
        <f t="shared" si="120"/>
        <v>0</v>
      </c>
      <c r="BB56" s="30">
        <f t="shared" si="120"/>
        <v>0</v>
      </c>
      <c r="BC56" s="32"/>
    </row>
    <row r="57" ht="13.5" customHeight="1">
      <c r="A57" s="1"/>
      <c r="B57" s="35"/>
      <c r="C57" s="36" t="s">
        <v>22</v>
      </c>
      <c r="D57" s="37">
        <f t="shared" si="20"/>
        <v>16</v>
      </c>
      <c r="E57" s="38"/>
      <c r="F57" s="38"/>
      <c r="G57" s="38">
        <v>2.0</v>
      </c>
      <c r="H57" s="38"/>
      <c r="I57" s="38">
        <v>14.0</v>
      </c>
      <c r="J57" s="38"/>
      <c r="K57" s="39"/>
      <c r="L57" s="1"/>
      <c r="M57" s="35"/>
      <c r="N57" s="36" t="s">
        <v>22</v>
      </c>
      <c r="O57" s="37">
        <f t="shared" si="21"/>
        <v>15</v>
      </c>
      <c r="P57" s="38"/>
      <c r="Q57" s="38"/>
      <c r="R57" s="38">
        <v>2.0</v>
      </c>
      <c r="S57" s="38"/>
      <c r="T57" s="38">
        <v>13.0</v>
      </c>
      <c r="U57" s="38"/>
      <c r="V57" s="39"/>
      <c r="W57" s="1"/>
      <c r="X57" s="35"/>
      <c r="Y57" s="36" t="s">
        <v>22</v>
      </c>
      <c r="Z57" s="37">
        <f t="shared" si="22"/>
        <v>14</v>
      </c>
      <c r="AA57" s="38"/>
      <c r="AB57" s="38"/>
      <c r="AC57" s="38">
        <v>2.0</v>
      </c>
      <c r="AD57" s="38"/>
      <c r="AE57" s="38">
        <v>12.0</v>
      </c>
      <c r="AF57" s="38"/>
      <c r="AG57" s="40"/>
      <c r="AH57" s="28"/>
      <c r="AI57" s="35"/>
      <c r="AJ57" s="36" t="s">
        <v>22</v>
      </c>
      <c r="AK57" s="37">
        <f t="shared" si="23"/>
        <v>13</v>
      </c>
      <c r="AL57" s="38"/>
      <c r="AM57" s="38"/>
      <c r="AN57" s="38">
        <v>2.0</v>
      </c>
      <c r="AO57" s="38"/>
      <c r="AP57" s="38">
        <v>11.0</v>
      </c>
      <c r="AQ57" s="38"/>
      <c r="AR57" s="39"/>
      <c r="AS57" s="1"/>
      <c r="AT57" s="35"/>
      <c r="AU57" s="36" t="s">
        <v>22</v>
      </c>
      <c r="AV57" s="37">
        <f t="shared" ref="AV57:BB57" si="121">AK57-Z57</f>
        <v>-1</v>
      </c>
      <c r="AW57" s="37">
        <f t="shared" si="121"/>
        <v>0</v>
      </c>
      <c r="AX57" s="37">
        <f t="shared" si="121"/>
        <v>0</v>
      </c>
      <c r="AY57" s="37">
        <f t="shared" si="121"/>
        <v>0</v>
      </c>
      <c r="AZ57" s="37">
        <f t="shared" si="121"/>
        <v>0</v>
      </c>
      <c r="BA57" s="37">
        <f t="shared" si="121"/>
        <v>-1</v>
      </c>
      <c r="BB57" s="37">
        <f t="shared" si="121"/>
        <v>0</v>
      </c>
      <c r="BC57" s="39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ht="13.5" hidden="1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ht="13.5" hidden="1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ht="13.5" hidden="1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ht="13.5" hidden="1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41">
        <v>226.0</v>
      </c>
      <c r="P67" s="41">
        <v>198.0</v>
      </c>
      <c r="Q67" s="42">
        <f t="shared" ref="Q67:Q74" si="122">P67/O67%</f>
        <v>87.61061947</v>
      </c>
      <c r="R67" s="1"/>
      <c r="S67" s="43">
        <v>3515.0</v>
      </c>
      <c r="T67" s="41">
        <v>333.0</v>
      </c>
      <c r="U67" s="42">
        <f t="shared" ref="U67:U84" si="123">T67/S67%</f>
        <v>9.473684211</v>
      </c>
      <c r="V67" s="1"/>
      <c r="W67" s="1"/>
      <c r="X67" s="1"/>
      <c r="Y67" s="1"/>
      <c r="Z67" s="41">
        <v>226.0</v>
      </c>
      <c r="AA67" s="41">
        <v>198.0</v>
      </c>
      <c r="AB67" s="42">
        <f t="shared" ref="AB67:AB74" si="124">AA67/Z67%</f>
        <v>87.61061947</v>
      </c>
      <c r="AC67" s="1"/>
      <c r="AD67" s="43">
        <v>3515.0</v>
      </c>
      <c r="AE67" s="41">
        <v>333.0</v>
      </c>
      <c r="AF67" s="42">
        <f t="shared" ref="AF67:AF84" si="125">AE67/AD67%</f>
        <v>9.473684211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ht="13.5" hidden="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44">
        <v>25.0</v>
      </c>
      <c r="P68" s="45">
        <v>32.0</v>
      </c>
      <c r="Q68" s="42">
        <f t="shared" si="122"/>
        <v>128</v>
      </c>
      <c r="R68" s="1"/>
      <c r="S68" s="46">
        <v>426.0</v>
      </c>
      <c r="T68" s="45">
        <v>25.0</v>
      </c>
      <c r="U68" s="42">
        <f t="shared" si="123"/>
        <v>5.868544601</v>
      </c>
      <c r="V68" s="1"/>
      <c r="W68" s="1"/>
      <c r="X68" s="1"/>
      <c r="Y68" s="1"/>
      <c r="Z68" s="44">
        <v>25.0</v>
      </c>
      <c r="AA68" s="45">
        <v>32.0</v>
      </c>
      <c r="AB68" s="42">
        <f t="shared" si="124"/>
        <v>128</v>
      </c>
      <c r="AC68" s="1"/>
      <c r="AD68" s="46">
        <v>426.0</v>
      </c>
      <c r="AE68" s="45">
        <v>25.0</v>
      </c>
      <c r="AF68" s="42">
        <f t="shared" si="125"/>
        <v>5.868544601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ht="13.5" hidden="1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44">
        <v>16.0</v>
      </c>
      <c r="P69" s="45">
        <v>8.0</v>
      </c>
      <c r="Q69" s="42">
        <f t="shared" si="122"/>
        <v>50</v>
      </c>
      <c r="R69" s="1"/>
      <c r="S69" s="46">
        <v>205.0</v>
      </c>
      <c r="T69" s="45">
        <v>11.0</v>
      </c>
      <c r="U69" s="42">
        <f t="shared" si="123"/>
        <v>5.365853659</v>
      </c>
      <c r="V69" s="1"/>
      <c r="W69" s="1"/>
      <c r="X69" s="1"/>
      <c r="Y69" s="1"/>
      <c r="Z69" s="44">
        <v>16.0</v>
      </c>
      <c r="AA69" s="45">
        <v>8.0</v>
      </c>
      <c r="AB69" s="42">
        <f t="shared" si="124"/>
        <v>50</v>
      </c>
      <c r="AC69" s="1"/>
      <c r="AD69" s="46">
        <v>205.0</v>
      </c>
      <c r="AE69" s="45">
        <v>11.0</v>
      </c>
      <c r="AF69" s="42">
        <f t="shared" si="125"/>
        <v>5.365853659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ht="13.5" hidden="1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44">
        <v>8.0</v>
      </c>
      <c r="P70" s="45">
        <v>5.0</v>
      </c>
      <c r="Q70" s="42">
        <f t="shared" si="122"/>
        <v>62.5</v>
      </c>
      <c r="R70" s="1"/>
      <c r="S70" s="46">
        <v>142.0</v>
      </c>
      <c r="T70" s="45">
        <v>9.0</v>
      </c>
      <c r="U70" s="42">
        <f t="shared" si="123"/>
        <v>6.338028169</v>
      </c>
      <c r="V70" s="1"/>
      <c r="W70" s="1"/>
      <c r="X70" s="1"/>
      <c r="Y70" s="1"/>
      <c r="Z70" s="44">
        <v>8.0</v>
      </c>
      <c r="AA70" s="45">
        <v>5.0</v>
      </c>
      <c r="AB70" s="42">
        <f t="shared" si="124"/>
        <v>62.5</v>
      </c>
      <c r="AC70" s="1"/>
      <c r="AD70" s="46">
        <v>142.0</v>
      </c>
      <c r="AE70" s="45">
        <v>9.0</v>
      </c>
      <c r="AF70" s="42">
        <f t="shared" si="125"/>
        <v>6.338028169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ht="13.5" hidden="1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44">
        <v>10.0</v>
      </c>
      <c r="P71" s="45">
        <v>9.0</v>
      </c>
      <c r="Q71" s="42">
        <f t="shared" si="122"/>
        <v>90</v>
      </c>
      <c r="R71" s="1"/>
      <c r="S71" s="46">
        <v>155.0</v>
      </c>
      <c r="T71" s="45">
        <v>8.0</v>
      </c>
      <c r="U71" s="42">
        <f t="shared" si="123"/>
        <v>5.161290323</v>
      </c>
      <c r="V71" s="1"/>
      <c r="W71" s="1"/>
      <c r="X71" s="1"/>
      <c r="Y71" s="1"/>
      <c r="Z71" s="44">
        <v>10.0</v>
      </c>
      <c r="AA71" s="45">
        <v>9.0</v>
      </c>
      <c r="AB71" s="42">
        <f t="shared" si="124"/>
        <v>90</v>
      </c>
      <c r="AC71" s="1"/>
      <c r="AD71" s="46">
        <v>155.0</v>
      </c>
      <c r="AE71" s="45">
        <v>8.0</v>
      </c>
      <c r="AF71" s="42">
        <f t="shared" si="125"/>
        <v>5.161290323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ht="13.5" hidden="1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44">
        <v>5.0</v>
      </c>
      <c r="P72" s="45">
        <v>5.0</v>
      </c>
      <c r="Q72" s="42">
        <f t="shared" si="122"/>
        <v>100</v>
      </c>
      <c r="R72" s="1"/>
      <c r="S72" s="46">
        <v>97.0</v>
      </c>
      <c r="T72" s="45">
        <v>9.0</v>
      </c>
      <c r="U72" s="42">
        <f t="shared" si="123"/>
        <v>9.278350515</v>
      </c>
      <c r="V72" s="1"/>
      <c r="W72" s="1"/>
      <c r="X72" s="1"/>
      <c r="Y72" s="1"/>
      <c r="Z72" s="44">
        <v>5.0</v>
      </c>
      <c r="AA72" s="45">
        <v>5.0</v>
      </c>
      <c r="AB72" s="42">
        <f t="shared" si="124"/>
        <v>100</v>
      </c>
      <c r="AC72" s="1"/>
      <c r="AD72" s="46">
        <v>97.0</v>
      </c>
      <c r="AE72" s="45">
        <v>9.0</v>
      </c>
      <c r="AF72" s="42">
        <f t="shared" si="125"/>
        <v>9.278350515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ht="13.5" hidden="1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44">
        <v>5.0</v>
      </c>
      <c r="P73" s="45">
        <v>4.0</v>
      </c>
      <c r="Q73" s="42">
        <f t="shared" si="122"/>
        <v>80</v>
      </c>
      <c r="R73" s="1"/>
      <c r="S73" s="46">
        <v>81.0</v>
      </c>
      <c r="T73" s="45">
        <v>9.0</v>
      </c>
      <c r="U73" s="42">
        <f t="shared" si="123"/>
        <v>11.11111111</v>
      </c>
      <c r="V73" s="1"/>
      <c r="W73" s="1"/>
      <c r="X73" s="1"/>
      <c r="Y73" s="1"/>
      <c r="Z73" s="44">
        <v>5.0</v>
      </c>
      <c r="AA73" s="45">
        <v>4.0</v>
      </c>
      <c r="AB73" s="42">
        <f t="shared" si="124"/>
        <v>80</v>
      </c>
      <c r="AC73" s="1"/>
      <c r="AD73" s="46">
        <v>81.0</v>
      </c>
      <c r="AE73" s="45">
        <v>9.0</v>
      </c>
      <c r="AF73" s="42">
        <f t="shared" si="125"/>
        <v>11.11111111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ht="13.5" hidden="1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44">
        <v>5.0</v>
      </c>
      <c r="P74" s="45">
        <v>4.0</v>
      </c>
      <c r="Q74" s="42">
        <f t="shared" si="122"/>
        <v>80</v>
      </c>
      <c r="R74" s="1"/>
      <c r="S74" s="46">
        <v>56.0</v>
      </c>
      <c r="T74" s="45">
        <v>7.0</v>
      </c>
      <c r="U74" s="42">
        <f t="shared" si="123"/>
        <v>12.5</v>
      </c>
      <c r="V74" s="1"/>
      <c r="W74" s="1"/>
      <c r="X74" s="1"/>
      <c r="Y74" s="1"/>
      <c r="Z74" s="44">
        <v>5.0</v>
      </c>
      <c r="AA74" s="45">
        <v>4.0</v>
      </c>
      <c r="AB74" s="42">
        <f t="shared" si="124"/>
        <v>80</v>
      </c>
      <c r="AC74" s="1"/>
      <c r="AD74" s="46">
        <v>56.0</v>
      </c>
      <c r="AE74" s="45">
        <v>7.0</v>
      </c>
      <c r="AF74" s="42">
        <f t="shared" si="125"/>
        <v>12.5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ht="13.5" hidden="1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44" t="s">
        <v>40</v>
      </c>
      <c r="P75" s="45">
        <v>2.0</v>
      </c>
      <c r="Q75" s="42"/>
      <c r="R75" s="1"/>
      <c r="S75" s="46">
        <v>22.0</v>
      </c>
      <c r="T75" s="45">
        <v>3.0</v>
      </c>
      <c r="U75" s="42">
        <f t="shared" si="123"/>
        <v>13.63636364</v>
      </c>
      <c r="V75" s="1"/>
      <c r="W75" s="1"/>
      <c r="X75" s="1"/>
      <c r="Y75" s="1"/>
      <c r="Z75" s="44" t="s">
        <v>40</v>
      </c>
      <c r="AA75" s="45">
        <v>2.0</v>
      </c>
      <c r="AB75" s="42"/>
      <c r="AC75" s="1"/>
      <c r="AD75" s="46">
        <v>22.0</v>
      </c>
      <c r="AE75" s="45">
        <v>3.0</v>
      </c>
      <c r="AF75" s="42">
        <f t="shared" si="125"/>
        <v>13.63636364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ht="13.5" hidden="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44">
        <v>31.0</v>
      </c>
      <c r="P76" s="45">
        <v>38.0</v>
      </c>
      <c r="Q76" s="42">
        <f t="shared" ref="Q76:Q83" si="126">P76/O76%</f>
        <v>122.5806452</v>
      </c>
      <c r="R76" s="1"/>
      <c r="S76" s="46">
        <v>559.0</v>
      </c>
      <c r="T76" s="45">
        <v>79.0</v>
      </c>
      <c r="U76" s="42">
        <f t="shared" si="123"/>
        <v>14.13237925</v>
      </c>
      <c r="V76" s="1"/>
      <c r="W76" s="1"/>
      <c r="X76" s="1"/>
      <c r="Y76" s="1"/>
      <c r="Z76" s="44">
        <v>31.0</v>
      </c>
      <c r="AA76" s="45">
        <v>38.0</v>
      </c>
      <c r="AB76" s="42">
        <f t="shared" ref="AB76:AB83" si="127">AA76/Z76%</f>
        <v>122.5806452</v>
      </c>
      <c r="AC76" s="1"/>
      <c r="AD76" s="46">
        <v>559.0</v>
      </c>
      <c r="AE76" s="45">
        <v>79.0</v>
      </c>
      <c r="AF76" s="42">
        <f t="shared" si="125"/>
        <v>14.13237925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ht="13.5" hidden="1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44">
        <v>18.0</v>
      </c>
      <c r="P77" s="45">
        <v>16.0</v>
      </c>
      <c r="Q77" s="42">
        <f t="shared" si="126"/>
        <v>88.88888889</v>
      </c>
      <c r="R77" s="1"/>
      <c r="S77" s="46">
        <v>193.0</v>
      </c>
      <c r="T77" s="45">
        <v>34.0</v>
      </c>
      <c r="U77" s="42">
        <f t="shared" si="123"/>
        <v>17.61658031</v>
      </c>
      <c r="V77" s="1"/>
      <c r="W77" s="1"/>
      <c r="X77" s="1"/>
      <c r="Y77" s="1"/>
      <c r="Z77" s="44">
        <v>18.0</v>
      </c>
      <c r="AA77" s="45">
        <v>16.0</v>
      </c>
      <c r="AB77" s="42">
        <f t="shared" si="127"/>
        <v>88.88888889</v>
      </c>
      <c r="AC77" s="1"/>
      <c r="AD77" s="46">
        <v>193.0</v>
      </c>
      <c r="AE77" s="45">
        <v>34.0</v>
      </c>
      <c r="AF77" s="42">
        <f t="shared" si="125"/>
        <v>17.61658031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ht="13.5" hidden="1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44">
        <v>11.0</v>
      </c>
      <c r="P78" s="45">
        <v>7.0</v>
      </c>
      <c r="Q78" s="42">
        <f t="shared" si="126"/>
        <v>63.63636364</v>
      </c>
      <c r="R78" s="1"/>
      <c r="S78" s="46">
        <v>153.0</v>
      </c>
      <c r="T78" s="45">
        <v>16.0</v>
      </c>
      <c r="U78" s="42">
        <f t="shared" si="123"/>
        <v>10.45751634</v>
      </c>
      <c r="V78" s="1"/>
      <c r="W78" s="1"/>
      <c r="X78" s="1"/>
      <c r="Y78" s="1"/>
      <c r="Z78" s="44">
        <v>11.0</v>
      </c>
      <c r="AA78" s="45">
        <v>7.0</v>
      </c>
      <c r="AB78" s="42">
        <f t="shared" si="127"/>
        <v>63.63636364</v>
      </c>
      <c r="AC78" s="1"/>
      <c r="AD78" s="46">
        <v>153.0</v>
      </c>
      <c r="AE78" s="45">
        <v>16.0</v>
      </c>
      <c r="AF78" s="42">
        <f t="shared" si="125"/>
        <v>10.45751634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ht="13.5" hidden="1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44">
        <v>15.0</v>
      </c>
      <c r="P79" s="45">
        <v>11.0</v>
      </c>
      <c r="Q79" s="42">
        <f t="shared" si="126"/>
        <v>73.33333333</v>
      </c>
      <c r="R79" s="1"/>
      <c r="S79" s="46">
        <v>208.0</v>
      </c>
      <c r="T79" s="45">
        <v>15.0</v>
      </c>
      <c r="U79" s="42">
        <f t="shared" si="123"/>
        <v>7.211538462</v>
      </c>
      <c r="V79" s="1"/>
      <c r="W79" s="1"/>
      <c r="X79" s="1"/>
      <c r="Y79" s="1"/>
      <c r="Z79" s="44">
        <v>15.0</v>
      </c>
      <c r="AA79" s="45">
        <v>11.0</v>
      </c>
      <c r="AB79" s="42">
        <f t="shared" si="127"/>
        <v>73.33333333</v>
      </c>
      <c r="AC79" s="1"/>
      <c r="AD79" s="46">
        <v>208.0</v>
      </c>
      <c r="AE79" s="45">
        <v>15.0</v>
      </c>
      <c r="AF79" s="42">
        <f t="shared" si="125"/>
        <v>7.211538462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ht="13.5" hidden="1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44">
        <v>14.0</v>
      </c>
      <c r="P80" s="45">
        <v>11.0</v>
      </c>
      <c r="Q80" s="42">
        <f t="shared" si="126"/>
        <v>78.57142857</v>
      </c>
      <c r="R80" s="1"/>
      <c r="S80" s="46">
        <v>243.0</v>
      </c>
      <c r="T80" s="45">
        <v>22.0</v>
      </c>
      <c r="U80" s="42">
        <f t="shared" si="123"/>
        <v>9.053497942</v>
      </c>
      <c r="V80" s="1"/>
      <c r="W80" s="1"/>
      <c r="X80" s="1"/>
      <c r="Y80" s="1"/>
      <c r="Z80" s="44">
        <v>14.0</v>
      </c>
      <c r="AA80" s="45">
        <v>11.0</v>
      </c>
      <c r="AB80" s="42">
        <f t="shared" si="127"/>
        <v>78.57142857</v>
      </c>
      <c r="AC80" s="1"/>
      <c r="AD80" s="46">
        <v>243.0</v>
      </c>
      <c r="AE80" s="45">
        <v>22.0</v>
      </c>
      <c r="AF80" s="42">
        <f t="shared" si="125"/>
        <v>9.053497942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ht="13.5" hidden="1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44">
        <v>22.0</v>
      </c>
      <c r="P81" s="45">
        <v>9.0</v>
      </c>
      <c r="Q81" s="42">
        <f t="shared" si="126"/>
        <v>40.90909091</v>
      </c>
      <c r="R81" s="1"/>
      <c r="S81" s="46">
        <v>297.0</v>
      </c>
      <c r="T81" s="45">
        <v>24.0</v>
      </c>
      <c r="U81" s="42">
        <f t="shared" si="123"/>
        <v>8.080808081</v>
      </c>
      <c r="V81" s="1"/>
      <c r="W81" s="1"/>
      <c r="X81" s="1"/>
      <c r="Y81" s="1"/>
      <c r="Z81" s="44">
        <v>22.0</v>
      </c>
      <c r="AA81" s="45">
        <v>9.0</v>
      </c>
      <c r="AB81" s="42">
        <f t="shared" si="127"/>
        <v>40.90909091</v>
      </c>
      <c r="AC81" s="1"/>
      <c r="AD81" s="46">
        <v>297.0</v>
      </c>
      <c r="AE81" s="45">
        <v>24.0</v>
      </c>
      <c r="AF81" s="42">
        <f t="shared" si="125"/>
        <v>8.080808081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ht="13.5" hidden="1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44">
        <v>23.0</v>
      </c>
      <c r="P82" s="45">
        <v>16.0</v>
      </c>
      <c r="Q82" s="42">
        <f t="shared" si="126"/>
        <v>69.56521739</v>
      </c>
      <c r="R82" s="1"/>
      <c r="S82" s="46">
        <v>330.0</v>
      </c>
      <c r="T82" s="45">
        <v>18.0</v>
      </c>
      <c r="U82" s="42">
        <f t="shared" si="123"/>
        <v>5.454545455</v>
      </c>
      <c r="V82" s="1"/>
      <c r="W82" s="1"/>
      <c r="X82" s="1"/>
      <c r="Y82" s="1"/>
      <c r="Z82" s="44">
        <v>23.0</v>
      </c>
      <c r="AA82" s="45">
        <v>16.0</v>
      </c>
      <c r="AB82" s="42">
        <f t="shared" si="127"/>
        <v>69.56521739</v>
      </c>
      <c r="AC82" s="1"/>
      <c r="AD82" s="46">
        <v>330.0</v>
      </c>
      <c r="AE82" s="45">
        <v>18.0</v>
      </c>
      <c r="AF82" s="42">
        <f t="shared" si="125"/>
        <v>5.454545455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ht="13.5" hidden="1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44">
        <v>18.0</v>
      </c>
      <c r="P83" s="45">
        <v>18.0</v>
      </c>
      <c r="Q83" s="42">
        <f t="shared" si="126"/>
        <v>100</v>
      </c>
      <c r="R83" s="1"/>
      <c r="S83" s="46">
        <v>305.0</v>
      </c>
      <c r="T83" s="45">
        <v>19.0</v>
      </c>
      <c r="U83" s="42">
        <f t="shared" si="123"/>
        <v>6.229508197</v>
      </c>
      <c r="V83" s="1"/>
      <c r="W83" s="1"/>
      <c r="X83" s="1"/>
      <c r="Y83" s="1"/>
      <c r="Z83" s="44">
        <v>18.0</v>
      </c>
      <c r="AA83" s="45">
        <v>18.0</v>
      </c>
      <c r="AB83" s="42">
        <f t="shared" si="127"/>
        <v>100</v>
      </c>
      <c r="AC83" s="1"/>
      <c r="AD83" s="46">
        <v>305.0</v>
      </c>
      <c r="AE83" s="45">
        <v>19.0</v>
      </c>
      <c r="AF83" s="42">
        <f t="shared" si="125"/>
        <v>6.229508197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ht="13.5" hidden="1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47" t="s">
        <v>40</v>
      </c>
      <c r="P84" s="48">
        <v>3.0</v>
      </c>
      <c r="Q84" s="42"/>
      <c r="R84" s="1"/>
      <c r="S84" s="49">
        <v>43.0</v>
      </c>
      <c r="T84" s="48">
        <v>25.0</v>
      </c>
      <c r="U84" s="42">
        <f t="shared" si="123"/>
        <v>58.13953488</v>
      </c>
      <c r="V84" s="1"/>
      <c r="W84" s="1"/>
      <c r="X84" s="1"/>
      <c r="Y84" s="1"/>
      <c r="Z84" s="47" t="s">
        <v>40</v>
      </c>
      <c r="AA84" s="48">
        <v>3.0</v>
      </c>
      <c r="AB84" s="42"/>
      <c r="AC84" s="1"/>
      <c r="AD84" s="49">
        <v>43.0</v>
      </c>
      <c r="AE84" s="48">
        <v>25.0</v>
      </c>
      <c r="AF84" s="42">
        <f t="shared" si="125"/>
        <v>58.13953488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ht="13.5" hidden="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ht="13.5" hidden="1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</row>
  </sheetData>
  <mergeCells count="91">
    <mergeCell ref="AI28:AI30"/>
    <mergeCell ref="AI31:AI33"/>
    <mergeCell ref="AI7:AI9"/>
    <mergeCell ref="AI10:AI12"/>
    <mergeCell ref="AI13:AI15"/>
    <mergeCell ref="AI16:AI18"/>
    <mergeCell ref="AI19:AI21"/>
    <mergeCell ref="AI22:AI24"/>
    <mergeCell ref="AI25:AI27"/>
    <mergeCell ref="X37:X39"/>
    <mergeCell ref="X40:X42"/>
    <mergeCell ref="X4:X6"/>
    <mergeCell ref="X7:X9"/>
    <mergeCell ref="X13:X15"/>
    <mergeCell ref="X16:X18"/>
    <mergeCell ref="X19:X21"/>
    <mergeCell ref="X22:X24"/>
    <mergeCell ref="X25:X27"/>
    <mergeCell ref="M43:M45"/>
    <mergeCell ref="M46:M48"/>
    <mergeCell ref="M22:M24"/>
    <mergeCell ref="M25:M27"/>
    <mergeCell ref="M28:M30"/>
    <mergeCell ref="M31:M33"/>
    <mergeCell ref="M34:M36"/>
    <mergeCell ref="M37:M39"/>
    <mergeCell ref="M40:M42"/>
    <mergeCell ref="AI46:AI48"/>
    <mergeCell ref="AI49:AI51"/>
    <mergeCell ref="X28:X30"/>
    <mergeCell ref="X31:X33"/>
    <mergeCell ref="X34:X36"/>
    <mergeCell ref="AI34:AI36"/>
    <mergeCell ref="AI37:AI39"/>
    <mergeCell ref="AI40:AI42"/>
    <mergeCell ref="AI43:AI45"/>
    <mergeCell ref="X52:X54"/>
    <mergeCell ref="X55:X57"/>
    <mergeCell ref="X43:X45"/>
    <mergeCell ref="X46:X48"/>
    <mergeCell ref="M49:M51"/>
    <mergeCell ref="X49:X51"/>
    <mergeCell ref="M52:M54"/>
    <mergeCell ref="AI52:AI54"/>
    <mergeCell ref="M55:M57"/>
    <mergeCell ref="AI55:AI57"/>
    <mergeCell ref="AT2:AU2"/>
    <mergeCell ref="B4:B6"/>
    <mergeCell ref="M4:M6"/>
    <mergeCell ref="AI4:AI6"/>
    <mergeCell ref="B7:B9"/>
    <mergeCell ref="B10:B12"/>
    <mergeCell ref="X10:X12"/>
    <mergeCell ref="AT10:AT12"/>
    <mergeCell ref="M7:M9"/>
    <mergeCell ref="M10:M12"/>
    <mergeCell ref="B13:B15"/>
    <mergeCell ref="M13:M15"/>
    <mergeCell ref="B16:B18"/>
    <mergeCell ref="M16:M18"/>
    <mergeCell ref="M19:M21"/>
    <mergeCell ref="AT4:AT6"/>
    <mergeCell ref="AT7:AT9"/>
    <mergeCell ref="AT13:AT15"/>
    <mergeCell ref="AT16:AT18"/>
    <mergeCell ref="AT19:AT21"/>
    <mergeCell ref="AT22:AT24"/>
    <mergeCell ref="AT25:AT27"/>
    <mergeCell ref="B40:B42"/>
    <mergeCell ref="B43:B45"/>
    <mergeCell ref="B46:B48"/>
    <mergeCell ref="B49:B51"/>
    <mergeCell ref="B52:B54"/>
    <mergeCell ref="B55:B57"/>
    <mergeCell ref="B19:B21"/>
    <mergeCell ref="B22:B24"/>
    <mergeCell ref="B25:B27"/>
    <mergeCell ref="B28:B30"/>
    <mergeCell ref="B31:B33"/>
    <mergeCell ref="B34:B36"/>
    <mergeCell ref="B37:B39"/>
    <mergeCell ref="AT49:AT51"/>
    <mergeCell ref="AT52:AT54"/>
    <mergeCell ref="AT55:AT57"/>
    <mergeCell ref="AT28:AT30"/>
    <mergeCell ref="AT31:AT33"/>
    <mergeCell ref="AT34:AT36"/>
    <mergeCell ref="AT37:AT39"/>
    <mergeCell ref="AT40:AT42"/>
    <mergeCell ref="AT43:AT45"/>
    <mergeCell ref="AT46:AT4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5.0" ySplit="11.0" topLeftCell="F12" activePane="bottomRight" state="frozen"/>
      <selection activeCell="F1" sqref="F1" pane="topRight"/>
      <selection activeCell="A12" sqref="A12" pane="bottomLeft"/>
      <selection activeCell="F12" sqref="F12" pane="bottomRight"/>
    </sheetView>
  </sheetViews>
  <sheetFormatPr customHeight="1" defaultColWidth="12.63" defaultRowHeight="15.0"/>
  <cols>
    <col customWidth="1" min="1" max="1" width="5.88"/>
    <col customWidth="1" min="2" max="2" width="5.38"/>
    <col customWidth="1" min="3" max="3" width="6.25"/>
    <col customWidth="1" min="4" max="4" width="7.25"/>
    <col customWidth="1" min="5" max="5" width="28.5"/>
    <col customWidth="1" min="6" max="6" width="10.13"/>
    <col customWidth="1" min="7" max="7" width="10.63"/>
    <col customWidth="1" min="8" max="8" width="7.75"/>
    <col customWidth="1" min="9" max="9" width="23.25"/>
    <col customWidth="1" min="10" max="10" width="7.75"/>
    <col customWidth="1" min="11" max="11" width="24.0"/>
    <col customWidth="1" min="12" max="12" width="33.5"/>
    <col customWidth="1" min="13" max="13" width="8.88"/>
    <col customWidth="1" min="14" max="14" width="9.0"/>
    <col customWidth="1" min="15" max="16" width="8.88"/>
    <col customWidth="1" min="17" max="18" width="9.0"/>
    <col customWidth="1" min="19" max="19" width="8.88"/>
    <col customWidth="1" min="20" max="20" width="9.0"/>
    <col customWidth="1" min="21" max="21" width="10.88"/>
    <col customWidth="1" min="22" max="23" width="8.88"/>
    <col customWidth="1" min="24" max="24" width="54.25"/>
    <col customWidth="1" min="25" max="44" width="8.5"/>
  </cols>
  <sheetData>
    <row r="1" ht="13.5" customHeight="1">
      <c r="A1" s="50" t="s">
        <v>41</v>
      </c>
      <c r="B1" s="51"/>
      <c r="C1" s="51"/>
      <c r="D1" s="51"/>
      <c r="E1" s="52"/>
      <c r="F1" s="53"/>
      <c r="G1" s="54" t="s">
        <v>42</v>
      </c>
      <c r="H1" s="54" t="s">
        <v>21</v>
      </c>
      <c r="I1" s="54"/>
      <c r="J1" s="54" t="s">
        <v>43</v>
      </c>
      <c r="K1" s="53"/>
      <c r="L1" s="55"/>
      <c r="M1" s="56"/>
      <c r="N1" s="57"/>
      <c r="O1" s="57"/>
      <c r="P1" s="57"/>
      <c r="Q1" s="53"/>
      <c r="R1" s="53"/>
      <c r="S1" s="58"/>
      <c r="T1" s="53"/>
      <c r="U1" s="59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</row>
    <row r="2" ht="13.5" customHeight="1">
      <c r="A2" s="60"/>
      <c r="E2" s="61"/>
      <c r="F2" s="53"/>
      <c r="G2" s="54" t="s">
        <v>44</v>
      </c>
      <c r="H2" s="54" t="s">
        <v>22</v>
      </c>
      <c r="I2" s="54"/>
      <c r="J2" s="54" t="s">
        <v>45</v>
      </c>
      <c r="K2" s="53"/>
      <c r="L2" s="55"/>
      <c r="M2" s="56"/>
      <c r="N2" s="57"/>
      <c r="O2" s="57"/>
      <c r="P2" s="57"/>
      <c r="Q2" s="53"/>
      <c r="R2" s="53"/>
      <c r="S2" s="58"/>
      <c r="T2" s="53"/>
      <c r="U2" s="59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</row>
    <row r="3" ht="13.5" customHeight="1">
      <c r="A3" s="62"/>
      <c r="B3" s="63"/>
      <c r="C3" s="63"/>
      <c r="D3" s="63"/>
      <c r="E3" s="64"/>
      <c r="F3" s="53"/>
      <c r="G3" s="54" t="s">
        <v>46</v>
      </c>
      <c r="H3" s="54"/>
      <c r="I3" s="54"/>
      <c r="J3" s="54" t="s">
        <v>47</v>
      </c>
      <c r="K3" s="53"/>
      <c r="L3" s="55"/>
      <c r="M3" s="56"/>
      <c r="N3" s="57"/>
      <c r="O3" s="57"/>
      <c r="P3" s="57"/>
      <c r="Q3" s="53"/>
      <c r="R3" s="53"/>
      <c r="S3" s="58"/>
      <c r="T3" s="53"/>
      <c r="U3" s="59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</row>
    <row r="4" ht="13.5" customHeight="1">
      <c r="A4" s="53"/>
      <c r="B4" s="53"/>
      <c r="C4" s="53"/>
      <c r="D4" s="53"/>
      <c r="E4" s="55"/>
      <c r="F4" s="53"/>
      <c r="G4" s="53" t="s">
        <v>48</v>
      </c>
      <c r="H4" s="53"/>
      <c r="I4" s="53"/>
      <c r="J4" s="53"/>
      <c r="K4" s="53"/>
      <c r="L4" s="55"/>
      <c r="M4" s="56"/>
      <c r="N4" s="57"/>
      <c r="O4" s="57"/>
      <c r="P4" s="57"/>
      <c r="Q4" s="53"/>
      <c r="R4" s="53"/>
      <c r="S4" s="58"/>
      <c r="T4" s="53"/>
      <c r="U4" s="59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</row>
    <row r="5" ht="13.5" customHeight="1">
      <c r="A5" s="53"/>
      <c r="B5" s="53"/>
      <c r="C5" s="53"/>
      <c r="D5" s="53"/>
      <c r="E5" s="55"/>
      <c r="F5" s="53"/>
      <c r="G5" s="53" t="s">
        <v>12</v>
      </c>
      <c r="H5" s="53"/>
      <c r="I5" s="53"/>
      <c r="J5" s="53"/>
      <c r="K5" s="53"/>
      <c r="L5" s="55"/>
      <c r="M5" s="56"/>
      <c r="N5" s="57"/>
      <c r="O5" s="57"/>
      <c r="P5" s="57"/>
      <c r="Q5" s="53"/>
      <c r="R5" s="53"/>
      <c r="S5" s="58"/>
      <c r="T5" s="53"/>
      <c r="U5" s="59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</row>
    <row r="6" ht="13.5" customHeight="1">
      <c r="A6" s="53"/>
      <c r="B6" s="53"/>
      <c r="C6" s="53"/>
      <c r="D6" s="53"/>
      <c r="E6" s="55"/>
      <c r="F6" s="53"/>
      <c r="G6" s="53" t="s">
        <v>49</v>
      </c>
      <c r="H6" s="53"/>
      <c r="I6" s="53"/>
      <c r="J6" s="53"/>
      <c r="K6" s="53"/>
      <c r="L6" s="55"/>
      <c r="M6" s="56"/>
      <c r="N6" s="57"/>
      <c r="O6" s="57"/>
      <c r="P6" s="57"/>
      <c r="Q6" s="53"/>
      <c r="R6" s="53"/>
      <c r="S6" s="58"/>
      <c r="T6" s="53"/>
      <c r="U6" s="59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</row>
    <row r="7" ht="13.5" customHeight="1">
      <c r="A7" s="53"/>
      <c r="B7" s="53"/>
      <c r="C7" s="53"/>
      <c r="D7" s="53"/>
      <c r="E7" s="55"/>
      <c r="F7" s="53"/>
      <c r="G7" s="53"/>
      <c r="H7" s="53"/>
      <c r="I7" s="53"/>
      <c r="J7" s="53"/>
      <c r="K7" s="53"/>
      <c r="L7" s="55"/>
      <c r="M7" s="56"/>
      <c r="N7" s="57"/>
      <c r="O7" s="57"/>
      <c r="P7" s="57"/>
      <c r="Q7" s="53"/>
      <c r="R7" s="53"/>
      <c r="S7" s="58"/>
      <c r="T7" s="53"/>
      <c r="U7" s="59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</row>
    <row r="8" ht="21.75" customHeight="1">
      <c r="A8" s="65" t="s">
        <v>50</v>
      </c>
      <c r="B8" s="66" t="s">
        <v>51</v>
      </c>
      <c r="C8" s="66" t="s">
        <v>52</v>
      </c>
      <c r="D8" s="66" t="s">
        <v>53</v>
      </c>
      <c r="E8" s="67" t="s">
        <v>54</v>
      </c>
      <c r="F8" s="66" t="s">
        <v>55</v>
      </c>
      <c r="G8" s="66" t="s">
        <v>56</v>
      </c>
      <c r="H8" s="66" t="s">
        <v>57</v>
      </c>
      <c r="I8" s="66" t="s">
        <v>58</v>
      </c>
      <c r="J8" s="66" t="s">
        <v>59</v>
      </c>
      <c r="K8" s="66" t="s">
        <v>60</v>
      </c>
      <c r="L8" s="68" t="s">
        <v>61</v>
      </c>
      <c r="M8" s="69" t="s">
        <v>62</v>
      </c>
      <c r="N8" s="70"/>
      <c r="O8" s="70"/>
      <c r="P8" s="71"/>
      <c r="Q8" s="69" t="s">
        <v>63</v>
      </c>
      <c r="R8" s="70"/>
      <c r="S8" s="70"/>
      <c r="T8" s="71"/>
      <c r="U8" s="68" t="s">
        <v>64</v>
      </c>
      <c r="V8" s="66" t="s">
        <v>65</v>
      </c>
      <c r="W8" s="66" t="s">
        <v>66</v>
      </c>
      <c r="X8" s="66" t="s">
        <v>67</v>
      </c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</row>
    <row r="9" ht="75.75" customHeight="1">
      <c r="A9" s="73"/>
      <c r="B9" s="73"/>
      <c r="C9" s="73"/>
      <c r="D9" s="73"/>
      <c r="E9" s="73"/>
      <c r="F9" s="73"/>
      <c r="G9" s="73"/>
      <c r="H9" s="73"/>
      <c r="I9" s="73"/>
      <c r="J9" s="74"/>
      <c r="K9" s="74"/>
      <c r="L9" s="73"/>
      <c r="M9" s="66" t="s">
        <v>68</v>
      </c>
      <c r="N9" s="66" t="s">
        <v>69</v>
      </c>
      <c r="O9" s="66" t="s">
        <v>70</v>
      </c>
      <c r="P9" s="66" t="s">
        <v>71</v>
      </c>
      <c r="Q9" s="66" t="s">
        <v>72</v>
      </c>
      <c r="R9" s="66" t="s">
        <v>73</v>
      </c>
      <c r="S9" s="68" t="s">
        <v>74</v>
      </c>
      <c r="T9" s="66" t="s">
        <v>75</v>
      </c>
      <c r="U9" s="73"/>
      <c r="V9" s="73"/>
      <c r="W9" s="73"/>
      <c r="X9" s="73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</row>
    <row r="10" ht="74.25" customHeight="1">
      <c r="A10" s="74"/>
      <c r="B10" s="74"/>
      <c r="C10" s="74"/>
      <c r="D10" s="74"/>
      <c r="E10" s="74"/>
      <c r="F10" s="74"/>
      <c r="G10" s="74"/>
      <c r="H10" s="74"/>
      <c r="I10" s="74"/>
      <c r="J10" s="75" t="s">
        <v>76</v>
      </c>
      <c r="K10" s="75" t="s">
        <v>77</v>
      </c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</row>
    <row r="11" ht="27.0" customHeight="1">
      <c r="A11" s="76"/>
      <c r="B11" s="75"/>
      <c r="C11" s="75"/>
      <c r="D11" s="75"/>
      <c r="E11" s="77"/>
      <c r="F11" s="75"/>
      <c r="G11" s="75"/>
      <c r="H11" s="75"/>
      <c r="I11" s="75"/>
      <c r="J11" s="75"/>
      <c r="K11" s="75"/>
      <c r="L11" s="78"/>
      <c r="M11" s="75"/>
      <c r="N11" s="75"/>
      <c r="O11" s="75"/>
      <c r="P11" s="75"/>
      <c r="Q11" s="75"/>
      <c r="R11" s="75"/>
      <c r="S11" s="75"/>
      <c r="T11" s="75"/>
      <c r="U11" s="78"/>
      <c r="V11" s="78"/>
      <c r="W11" s="75"/>
      <c r="X11" s="75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</row>
    <row r="12" ht="19.5" customHeight="1">
      <c r="A12" s="79">
        <v>1.0</v>
      </c>
      <c r="B12" s="80" t="s">
        <v>23</v>
      </c>
      <c r="C12" s="80" t="s">
        <v>78</v>
      </c>
      <c r="D12" s="80" t="s">
        <v>79</v>
      </c>
      <c r="E12" s="81" t="s">
        <v>80</v>
      </c>
      <c r="F12" s="80" t="s">
        <v>81</v>
      </c>
      <c r="G12" s="80" t="s">
        <v>42</v>
      </c>
      <c r="H12" s="80" t="s">
        <v>21</v>
      </c>
      <c r="I12" s="80" t="s">
        <v>82</v>
      </c>
      <c r="J12" s="80" t="s">
        <v>45</v>
      </c>
      <c r="K12" s="80" t="s">
        <v>83</v>
      </c>
      <c r="L12" s="82" t="s">
        <v>84</v>
      </c>
      <c r="M12" s="83">
        <f t="shared" ref="M12:M875" si="1">N12+O12+P12</f>
        <v>865</v>
      </c>
      <c r="N12" s="84">
        <v>865.0</v>
      </c>
      <c r="O12" s="84"/>
      <c r="P12" s="84"/>
      <c r="Q12" s="85">
        <v>41328.0</v>
      </c>
      <c r="R12" s="85">
        <v>6381.0</v>
      </c>
      <c r="S12" s="85" t="s">
        <v>85</v>
      </c>
      <c r="T12" s="85">
        <v>1.0</v>
      </c>
      <c r="U12" s="86">
        <v>34516.0</v>
      </c>
      <c r="V12" s="85" t="s">
        <v>86</v>
      </c>
      <c r="W12" s="85" t="s">
        <v>87</v>
      </c>
      <c r="X12" s="87" t="s">
        <v>88</v>
      </c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</row>
    <row r="13" ht="19.5" customHeight="1">
      <c r="A13" s="79">
        <v>2.0</v>
      </c>
      <c r="B13" s="80" t="s">
        <v>23</v>
      </c>
      <c r="C13" s="80" t="s">
        <v>78</v>
      </c>
      <c r="D13" s="80" t="s">
        <v>89</v>
      </c>
      <c r="E13" s="81" t="s">
        <v>90</v>
      </c>
      <c r="F13" s="80" t="s">
        <v>91</v>
      </c>
      <c r="G13" s="80" t="s">
        <v>42</v>
      </c>
      <c r="H13" s="80" t="s">
        <v>21</v>
      </c>
      <c r="I13" s="80" t="s">
        <v>92</v>
      </c>
      <c r="J13" s="80" t="s">
        <v>45</v>
      </c>
      <c r="K13" s="80" t="s">
        <v>93</v>
      </c>
      <c r="L13" s="82" t="s">
        <v>94</v>
      </c>
      <c r="M13" s="83">
        <f t="shared" si="1"/>
        <v>716</v>
      </c>
      <c r="N13" s="84">
        <v>716.0</v>
      </c>
      <c r="O13" s="84">
        <v>0.0</v>
      </c>
      <c r="P13" s="84">
        <v>0.0</v>
      </c>
      <c r="Q13" s="85">
        <v>1372.0</v>
      </c>
      <c r="R13" s="85">
        <v>7048.36915</v>
      </c>
      <c r="S13" s="85" t="s">
        <v>95</v>
      </c>
      <c r="T13" s="85">
        <v>1.0</v>
      </c>
      <c r="U13" s="86">
        <v>38047.0</v>
      </c>
      <c r="V13" s="85" t="s">
        <v>96</v>
      </c>
      <c r="W13" s="85" t="s">
        <v>97</v>
      </c>
      <c r="X13" s="89" t="s">
        <v>98</v>
      </c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</row>
    <row r="14" ht="19.5" customHeight="1">
      <c r="A14" s="79">
        <v>3.0</v>
      </c>
      <c r="B14" s="80" t="s">
        <v>23</v>
      </c>
      <c r="C14" s="80" t="s">
        <v>78</v>
      </c>
      <c r="D14" s="80" t="s">
        <v>99</v>
      </c>
      <c r="E14" s="81" t="s">
        <v>100</v>
      </c>
      <c r="F14" s="80" t="s">
        <v>91</v>
      </c>
      <c r="G14" s="80" t="s">
        <v>42</v>
      </c>
      <c r="H14" s="80" t="s">
        <v>21</v>
      </c>
      <c r="I14" s="80" t="s">
        <v>92</v>
      </c>
      <c r="J14" s="80" t="s">
        <v>45</v>
      </c>
      <c r="K14" s="80" t="s">
        <v>101</v>
      </c>
      <c r="L14" s="82" t="s">
        <v>102</v>
      </c>
      <c r="M14" s="83">
        <f t="shared" si="1"/>
        <v>289</v>
      </c>
      <c r="N14" s="84">
        <v>289.0</v>
      </c>
      <c r="O14" s="84"/>
      <c r="P14" s="84"/>
      <c r="Q14" s="80">
        <v>26265.7</v>
      </c>
      <c r="R14" s="80">
        <v>1975.0</v>
      </c>
      <c r="S14" s="80" t="s">
        <v>103</v>
      </c>
      <c r="T14" s="80">
        <v>1.0</v>
      </c>
      <c r="U14" s="90">
        <v>33995.0</v>
      </c>
      <c r="V14" s="80" t="s">
        <v>104</v>
      </c>
      <c r="W14" s="80" t="s">
        <v>105</v>
      </c>
      <c r="X14" s="79" t="s">
        <v>106</v>
      </c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</row>
    <row r="15" ht="19.5" customHeight="1">
      <c r="A15" s="79">
        <v>4.0</v>
      </c>
      <c r="B15" s="80" t="s">
        <v>23</v>
      </c>
      <c r="C15" s="80" t="s">
        <v>107</v>
      </c>
      <c r="D15" s="80" t="s">
        <v>108</v>
      </c>
      <c r="E15" s="81" t="s">
        <v>109</v>
      </c>
      <c r="F15" s="80" t="s">
        <v>81</v>
      </c>
      <c r="G15" s="80" t="s">
        <v>42</v>
      </c>
      <c r="H15" s="80" t="s">
        <v>21</v>
      </c>
      <c r="I15" s="80" t="s">
        <v>82</v>
      </c>
      <c r="J15" s="80" t="s">
        <v>45</v>
      </c>
      <c r="K15" s="80" t="s">
        <v>110</v>
      </c>
      <c r="L15" s="82" t="s">
        <v>111</v>
      </c>
      <c r="M15" s="83">
        <f t="shared" si="1"/>
        <v>759</v>
      </c>
      <c r="N15" s="84">
        <v>759.0</v>
      </c>
      <c r="O15" s="84">
        <v>0.0</v>
      </c>
      <c r="P15" s="84">
        <v>0.0</v>
      </c>
      <c r="Q15" s="80">
        <v>1983.0</v>
      </c>
      <c r="R15" s="80">
        <v>5126.0</v>
      </c>
      <c r="S15" s="80" t="s">
        <v>112</v>
      </c>
      <c r="T15" s="80">
        <v>1.0</v>
      </c>
      <c r="U15" s="90">
        <v>41082.0</v>
      </c>
      <c r="V15" s="80" t="s">
        <v>113</v>
      </c>
      <c r="W15" s="80" t="s">
        <v>114</v>
      </c>
      <c r="X15" s="79" t="s">
        <v>115</v>
      </c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</row>
    <row r="16" ht="19.5" customHeight="1">
      <c r="A16" s="79">
        <v>5.0</v>
      </c>
      <c r="B16" s="91" t="s">
        <v>23</v>
      </c>
      <c r="C16" s="91" t="s">
        <v>107</v>
      </c>
      <c r="D16" s="91" t="s">
        <v>116</v>
      </c>
      <c r="E16" s="92" t="s">
        <v>117</v>
      </c>
      <c r="F16" s="91" t="s">
        <v>91</v>
      </c>
      <c r="G16" s="80" t="s">
        <v>44</v>
      </c>
      <c r="H16" s="80" t="s">
        <v>21</v>
      </c>
      <c r="I16" s="91" t="s">
        <v>118</v>
      </c>
      <c r="J16" s="80" t="s">
        <v>45</v>
      </c>
      <c r="K16" s="79" t="s">
        <v>119</v>
      </c>
      <c r="L16" s="93" t="s">
        <v>120</v>
      </c>
      <c r="M16" s="83">
        <f t="shared" si="1"/>
        <v>251</v>
      </c>
      <c r="N16" s="84">
        <v>251.0</v>
      </c>
      <c r="O16" s="84">
        <v>0.0</v>
      </c>
      <c r="P16" s="84">
        <v>0.0</v>
      </c>
      <c r="Q16" s="94">
        <v>596.0</v>
      </c>
      <c r="R16" s="94">
        <v>2016.0</v>
      </c>
      <c r="S16" s="95" t="s">
        <v>121</v>
      </c>
      <c r="T16" s="94">
        <v>1.0</v>
      </c>
      <c r="U16" s="96">
        <v>44707.0</v>
      </c>
      <c r="V16" s="97" t="s">
        <v>122</v>
      </c>
      <c r="W16" s="97" t="s">
        <v>123</v>
      </c>
      <c r="X16" s="79" t="s">
        <v>124</v>
      </c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</row>
    <row r="17" ht="19.5" customHeight="1">
      <c r="A17" s="79">
        <v>6.0</v>
      </c>
      <c r="B17" s="91" t="s">
        <v>23</v>
      </c>
      <c r="C17" s="91" t="s">
        <v>107</v>
      </c>
      <c r="D17" s="91" t="s">
        <v>125</v>
      </c>
      <c r="E17" s="92" t="s">
        <v>126</v>
      </c>
      <c r="F17" s="91" t="s">
        <v>91</v>
      </c>
      <c r="G17" s="80" t="s">
        <v>44</v>
      </c>
      <c r="H17" s="80" t="s">
        <v>21</v>
      </c>
      <c r="I17" s="91" t="s">
        <v>118</v>
      </c>
      <c r="J17" s="80" t="s">
        <v>45</v>
      </c>
      <c r="K17" s="79" t="s">
        <v>127</v>
      </c>
      <c r="L17" s="93" t="s">
        <v>128</v>
      </c>
      <c r="M17" s="83">
        <f t="shared" si="1"/>
        <v>150</v>
      </c>
      <c r="N17" s="84">
        <v>150.0</v>
      </c>
      <c r="O17" s="84">
        <v>0.0</v>
      </c>
      <c r="P17" s="84">
        <v>0.0</v>
      </c>
      <c r="Q17" s="94">
        <v>401.52</v>
      </c>
      <c r="R17" s="94">
        <v>1396.93</v>
      </c>
      <c r="S17" s="95" t="s">
        <v>129</v>
      </c>
      <c r="T17" s="94">
        <v>1.0</v>
      </c>
      <c r="U17" s="96">
        <v>45125.0</v>
      </c>
      <c r="V17" s="97" t="s">
        <v>130</v>
      </c>
      <c r="W17" s="97" t="s">
        <v>131</v>
      </c>
      <c r="X17" s="79" t="s">
        <v>132</v>
      </c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</row>
    <row r="18" ht="19.5" customHeight="1">
      <c r="A18" s="79">
        <v>7.0</v>
      </c>
      <c r="B18" s="80" t="s">
        <v>23</v>
      </c>
      <c r="C18" s="80" t="s">
        <v>133</v>
      </c>
      <c r="D18" s="80" t="s">
        <v>134</v>
      </c>
      <c r="E18" s="81" t="s">
        <v>135</v>
      </c>
      <c r="F18" s="80" t="s">
        <v>81</v>
      </c>
      <c r="G18" s="80" t="s">
        <v>42</v>
      </c>
      <c r="H18" s="80" t="s">
        <v>21</v>
      </c>
      <c r="I18" s="80" t="s">
        <v>82</v>
      </c>
      <c r="J18" s="80" t="s">
        <v>45</v>
      </c>
      <c r="K18" s="80" t="s">
        <v>136</v>
      </c>
      <c r="L18" s="82" t="s">
        <v>137</v>
      </c>
      <c r="M18" s="83">
        <f t="shared" si="1"/>
        <v>940</v>
      </c>
      <c r="N18" s="84">
        <v>840.0</v>
      </c>
      <c r="O18" s="84">
        <v>100.0</v>
      </c>
      <c r="P18" s="84">
        <v>0.0</v>
      </c>
      <c r="Q18" s="94">
        <v>6966.5</v>
      </c>
      <c r="R18" s="94">
        <v>6409.93</v>
      </c>
      <c r="S18" s="95" t="s">
        <v>138</v>
      </c>
      <c r="T18" s="94">
        <v>2.0</v>
      </c>
      <c r="U18" s="96">
        <v>36960.0</v>
      </c>
      <c r="V18" s="97" t="s">
        <v>139</v>
      </c>
      <c r="W18" s="97" t="s">
        <v>140</v>
      </c>
      <c r="X18" s="79" t="s">
        <v>141</v>
      </c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</row>
    <row r="19" ht="19.5" customHeight="1">
      <c r="A19" s="79">
        <v>8.0</v>
      </c>
      <c r="B19" s="80" t="s">
        <v>23</v>
      </c>
      <c r="C19" s="80" t="s">
        <v>133</v>
      </c>
      <c r="D19" s="80" t="s">
        <v>142</v>
      </c>
      <c r="E19" s="81" t="s">
        <v>143</v>
      </c>
      <c r="F19" s="80" t="s">
        <v>22</v>
      </c>
      <c r="G19" s="80" t="s">
        <v>46</v>
      </c>
      <c r="H19" s="80" t="s">
        <v>22</v>
      </c>
      <c r="I19" s="80" t="s">
        <v>144</v>
      </c>
      <c r="J19" s="80" t="s">
        <v>43</v>
      </c>
      <c r="K19" s="80" t="s">
        <v>144</v>
      </c>
      <c r="L19" s="82" t="s">
        <v>145</v>
      </c>
      <c r="M19" s="83">
        <f t="shared" si="1"/>
        <v>102</v>
      </c>
      <c r="N19" s="84"/>
      <c r="O19" s="84">
        <v>102.0</v>
      </c>
      <c r="P19" s="84"/>
      <c r="Q19" s="94">
        <v>5402.0</v>
      </c>
      <c r="R19" s="94">
        <v>1136.68</v>
      </c>
      <c r="S19" s="95" t="s">
        <v>103</v>
      </c>
      <c r="T19" s="94">
        <v>1.0</v>
      </c>
      <c r="U19" s="96">
        <v>36753.0</v>
      </c>
      <c r="V19" s="97" t="s">
        <v>146</v>
      </c>
      <c r="W19" s="97"/>
      <c r="X19" s="79" t="s">
        <v>147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</row>
    <row r="20" ht="19.5" customHeight="1">
      <c r="A20" s="79">
        <v>9.0</v>
      </c>
      <c r="B20" s="95" t="s">
        <v>23</v>
      </c>
      <c r="C20" s="95" t="s">
        <v>148</v>
      </c>
      <c r="D20" s="95" t="s">
        <v>149</v>
      </c>
      <c r="E20" s="100" t="s">
        <v>150</v>
      </c>
      <c r="F20" s="95" t="s">
        <v>91</v>
      </c>
      <c r="G20" s="80" t="s">
        <v>42</v>
      </c>
      <c r="H20" s="80" t="s">
        <v>21</v>
      </c>
      <c r="I20" s="95" t="s">
        <v>151</v>
      </c>
      <c r="J20" s="80" t="s">
        <v>45</v>
      </c>
      <c r="K20" s="95" t="s">
        <v>152</v>
      </c>
      <c r="L20" s="82" t="s">
        <v>153</v>
      </c>
      <c r="M20" s="83">
        <f t="shared" si="1"/>
        <v>350</v>
      </c>
      <c r="N20" s="84">
        <v>350.0</v>
      </c>
      <c r="O20" s="84">
        <v>0.0</v>
      </c>
      <c r="P20" s="84">
        <v>0.0</v>
      </c>
      <c r="Q20" s="94">
        <v>3340.0</v>
      </c>
      <c r="R20" s="94">
        <v>1607.0</v>
      </c>
      <c r="S20" s="95" t="s">
        <v>103</v>
      </c>
      <c r="T20" s="94">
        <v>1.0</v>
      </c>
      <c r="U20" s="96">
        <v>34111.0</v>
      </c>
      <c r="V20" s="97" t="s">
        <v>154</v>
      </c>
      <c r="W20" s="97" t="s">
        <v>155</v>
      </c>
      <c r="X20" s="79" t="s">
        <v>156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</row>
    <row r="21" ht="19.5" customHeight="1">
      <c r="A21" s="79">
        <v>10.0</v>
      </c>
      <c r="B21" s="95" t="s">
        <v>23</v>
      </c>
      <c r="C21" s="95" t="s">
        <v>148</v>
      </c>
      <c r="D21" s="95" t="s">
        <v>157</v>
      </c>
      <c r="E21" s="100" t="s">
        <v>158</v>
      </c>
      <c r="F21" s="95" t="s">
        <v>81</v>
      </c>
      <c r="G21" s="80" t="s">
        <v>42</v>
      </c>
      <c r="H21" s="80" t="s">
        <v>21</v>
      </c>
      <c r="I21" s="95" t="s">
        <v>82</v>
      </c>
      <c r="J21" s="80" t="s">
        <v>45</v>
      </c>
      <c r="K21" s="95" t="s">
        <v>152</v>
      </c>
      <c r="L21" s="82" t="s">
        <v>159</v>
      </c>
      <c r="M21" s="83">
        <f t="shared" si="1"/>
        <v>701</v>
      </c>
      <c r="N21" s="84">
        <v>701.0</v>
      </c>
      <c r="O21" s="84">
        <v>0.0</v>
      </c>
      <c r="P21" s="84">
        <v>0.0</v>
      </c>
      <c r="Q21" s="94">
        <v>1647.7</v>
      </c>
      <c r="R21" s="94">
        <v>5024.0</v>
      </c>
      <c r="S21" s="95" t="s">
        <v>85</v>
      </c>
      <c r="T21" s="94">
        <v>1.0</v>
      </c>
      <c r="U21" s="96">
        <v>39932.0</v>
      </c>
      <c r="V21" s="97" t="s">
        <v>160</v>
      </c>
      <c r="W21" s="97" t="s">
        <v>161</v>
      </c>
      <c r="X21" s="79" t="s">
        <v>162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</row>
    <row r="22" ht="19.5" customHeight="1">
      <c r="A22" s="79">
        <v>11.0</v>
      </c>
      <c r="B22" s="95" t="s">
        <v>23</v>
      </c>
      <c r="C22" s="95" t="s">
        <v>148</v>
      </c>
      <c r="D22" s="95" t="s">
        <v>163</v>
      </c>
      <c r="E22" s="100" t="s">
        <v>164</v>
      </c>
      <c r="F22" s="95" t="s">
        <v>22</v>
      </c>
      <c r="G22" s="80" t="s">
        <v>12</v>
      </c>
      <c r="H22" s="80" t="s">
        <v>22</v>
      </c>
      <c r="I22" s="95" t="s">
        <v>165</v>
      </c>
      <c r="J22" s="80" t="s">
        <v>43</v>
      </c>
      <c r="K22" s="95" t="s">
        <v>165</v>
      </c>
      <c r="L22" s="82" t="s">
        <v>166</v>
      </c>
      <c r="M22" s="83">
        <f t="shared" si="1"/>
        <v>1186</v>
      </c>
      <c r="N22" s="84">
        <v>885.0</v>
      </c>
      <c r="O22" s="84">
        <v>301.0</v>
      </c>
      <c r="P22" s="84"/>
      <c r="Q22" s="94">
        <v>4986.0</v>
      </c>
      <c r="R22" s="94">
        <v>12093.0</v>
      </c>
      <c r="S22" s="95" t="s">
        <v>167</v>
      </c>
      <c r="T22" s="94">
        <v>1.0</v>
      </c>
      <c r="U22" s="96">
        <v>36700.0</v>
      </c>
      <c r="V22" s="97" t="s">
        <v>168</v>
      </c>
      <c r="W22" s="97" t="s">
        <v>169</v>
      </c>
      <c r="X22" s="79" t="s">
        <v>170</v>
      </c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</row>
    <row r="23" ht="19.5" customHeight="1">
      <c r="A23" s="79">
        <v>12.0</v>
      </c>
      <c r="B23" s="95" t="s">
        <v>23</v>
      </c>
      <c r="C23" s="95" t="s">
        <v>171</v>
      </c>
      <c r="D23" s="95" t="s">
        <v>172</v>
      </c>
      <c r="E23" s="100" t="s">
        <v>173</v>
      </c>
      <c r="F23" s="95" t="s">
        <v>91</v>
      </c>
      <c r="G23" s="80" t="s">
        <v>42</v>
      </c>
      <c r="H23" s="80" t="s">
        <v>21</v>
      </c>
      <c r="I23" s="95" t="s">
        <v>174</v>
      </c>
      <c r="J23" s="80" t="s">
        <v>45</v>
      </c>
      <c r="K23" s="95" t="s">
        <v>175</v>
      </c>
      <c r="L23" s="82" t="s">
        <v>176</v>
      </c>
      <c r="M23" s="83">
        <f t="shared" si="1"/>
        <v>750</v>
      </c>
      <c r="N23" s="84">
        <v>750.0</v>
      </c>
      <c r="O23" s="84"/>
      <c r="P23" s="84"/>
      <c r="Q23" s="94">
        <v>1944.4</v>
      </c>
      <c r="R23" s="94">
        <v>4941.01</v>
      </c>
      <c r="S23" s="95" t="s">
        <v>177</v>
      </c>
      <c r="T23" s="94">
        <v>1.0</v>
      </c>
      <c r="U23" s="96" t="s">
        <v>178</v>
      </c>
      <c r="V23" s="97" t="s">
        <v>179</v>
      </c>
      <c r="W23" s="97"/>
      <c r="X23" s="79" t="s">
        <v>180</v>
      </c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</row>
    <row r="24" ht="19.5" customHeight="1">
      <c r="A24" s="79">
        <v>13.0</v>
      </c>
      <c r="B24" s="80" t="s">
        <v>23</v>
      </c>
      <c r="C24" s="80" t="s">
        <v>171</v>
      </c>
      <c r="D24" s="80" t="s">
        <v>181</v>
      </c>
      <c r="E24" s="81" t="s">
        <v>182</v>
      </c>
      <c r="F24" s="80" t="s">
        <v>22</v>
      </c>
      <c r="G24" s="80" t="s">
        <v>42</v>
      </c>
      <c r="H24" s="80" t="s">
        <v>22</v>
      </c>
      <c r="I24" s="80" t="s">
        <v>183</v>
      </c>
      <c r="J24" s="80" t="s">
        <v>43</v>
      </c>
      <c r="K24" s="80" t="s">
        <v>183</v>
      </c>
      <c r="L24" s="82" t="s">
        <v>184</v>
      </c>
      <c r="M24" s="83">
        <f t="shared" si="1"/>
        <v>500</v>
      </c>
      <c r="N24" s="84">
        <v>500.0</v>
      </c>
      <c r="O24" s="84"/>
      <c r="P24" s="84"/>
      <c r="Q24" s="94">
        <v>49343.0</v>
      </c>
      <c r="R24" s="94">
        <v>4467.0</v>
      </c>
      <c r="S24" s="95" t="s">
        <v>185</v>
      </c>
      <c r="T24" s="94">
        <v>1.0</v>
      </c>
      <c r="U24" s="96" t="s">
        <v>186</v>
      </c>
      <c r="V24" s="97" t="s">
        <v>187</v>
      </c>
      <c r="W24" s="97" t="s">
        <v>187</v>
      </c>
      <c r="X24" s="79" t="s">
        <v>188</v>
      </c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</row>
    <row r="25" ht="19.5" customHeight="1">
      <c r="A25" s="79">
        <v>14.0</v>
      </c>
      <c r="B25" s="80" t="s">
        <v>23</v>
      </c>
      <c r="C25" s="80" t="s">
        <v>189</v>
      </c>
      <c r="D25" s="80" t="s">
        <v>190</v>
      </c>
      <c r="E25" s="81" t="s">
        <v>191</v>
      </c>
      <c r="F25" s="80" t="s">
        <v>81</v>
      </c>
      <c r="G25" s="80" t="s">
        <v>42</v>
      </c>
      <c r="H25" s="80" t="s">
        <v>21</v>
      </c>
      <c r="I25" s="80" t="s">
        <v>82</v>
      </c>
      <c r="J25" s="80" t="s">
        <v>45</v>
      </c>
      <c r="K25" s="80" t="s">
        <v>192</v>
      </c>
      <c r="L25" s="82" t="s">
        <v>193</v>
      </c>
      <c r="M25" s="83">
        <f t="shared" si="1"/>
        <v>804</v>
      </c>
      <c r="N25" s="84">
        <v>804.0</v>
      </c>
      <c r="O25" s="84"/>
      <c r="P25" s="84"/>
      <c r="Q25" s="94">
        <v>2081.58</v>
      </c>
      <c r="R25" s="94">
        <v>5632.0</v>
      </c>
      <c r="S25" s="95" t="s">
        <v>194</v>
      </c>
      <c r="T25" s="94">
        <v>1.0</v>
      </c>
      <c r="U25" s="96">
        <v>38898.0</v>
      </c>
      <c r="V25" s="97" t="s">
        <v>195</v>
      </c>
      <c r="W25" s="97" t="s">
        <v>196</v>
      </c>
      <c r="X25" s="79" t="s">
        <v>197</v>
      </c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</row>
    <row r="26" ht="19.5" customHeight="1">
      <c r="A26" s="79">
        <v>15.0</v>
      </c>
      <c r="B26" s="80" t="s">
        <v>23</v>
      </c>
      <c r="C26" s="80" t="s">
        <v>198</v>
      </c>
      <c r="D26" s="80" t="s">
        <v>199</v>
      </c>
      <c r="E26" s="81" t="s">
        <v>200</v>
      </c>
      <c r="F26" s="80" t="s">
        <v>81</v>
      </c>
      <c r="G26" s="80" t="s">
        <v>42</v>
      </c>
      <c r="H26" s="80" t="s">
        <v>21</v>
      </c>
      <c r="I26" s="80" t="s">
        <v>82</v>
      </c>
      <c r="J26" s="80" t="s">
        <v>45</v>
      </c>
      <c r="K26" s="80" t="s">
        <v>119</v>
      </c>
      <c r="L26" s="82" t="s">
        <v>201</v>
      </c>
      <c r="M26" s="83">
        <f t="shared" si="1"/>
        <v>700</v>
      </c>
      <c r="N26" s="84">
        <v>700.0</v>
      </c>
      <c r="O26" s="84">
        <v>0.0</v>
      </c>
      <c r="P26" s="84">
        <v>0.0</v>
      </c>
      <c r="Q26" s="94">
        <v>1762.0</v>
      </c>
      <c r="R26" s="94">
        <v>4986.0</v>
      </c>
      <c r="S26" s="95" t="s">
        <v>112</v>
      </c>
      <c r="T26" s="94">
        <v>1.0</v>
      </c>
      <c r="U26" s="96">
        <v>37500.0</v>
      </c>
      <c r="V26" s="97" t="s">
        <v>202</v>
      </c>
      <c r="W26" s="97" t="s">
        <v>203</v>
      </c>
      <c r="X26" s="79" t="s">
        <v>204</v>
      </c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98"/>
      <c r="AQ26" s="98"/>
      <c r="AR26" s="98"/>
    </row>
    <row r="27" ht="19.5" customHeight="1">
      <c r="A27" s="79">
        <v>16.0</v>
      </c>
      <c r="B27" s="94" t="s">
        <v>23</v>
      </c>
      <c r="C27" s="94" t="s">
        <v>198</v>
      </c>
      <c r="D27" s="94" t="s">
        <v>199</v>
      </c>
      <c r="E27" s="101" t="s">
        <v>205</v>
      </c>
      <c r="F27" s="94" t="s">
        <v>91</v>
      </c>
      <c r="G27" s="80" t="s">
        <v>44</v>
      </c>
      <c r="H27" s="80" t="s">
        <v>21</v>
      </c>
      <c r="I27" s="94" t="s">
        <v>206</v>
      </c>
      <c r="J27" s="80" t="s">
        <v>45</v>
      </c>
      <c r="K27" s="79" t="s">
        <v>207</v>
      </c>
      <c r="L27" s="82" t="s">
        <v>208</v>
      </c>
      <c r="M27" s="83">
        <f t="shared" si="1"/>
        <v>150</v>
      </c>
      <c r="N27" s="84">
        <v>150.0</v>
      </c>
      <c r="O27" s="84">
        <v>0.0</v>
      </c>
      <c r="P27" s="84">
        <v>0.0</v>
      </c>
      <c r="Q27" s="94">
        <v>575.0</v>
      </c>
      <c r="R27" s="94">
        <v>1181.0</v>
      </c>
      <c r="S27" s="95" t="s">
        <v>103</v>
      </c>
      <c r="T27" s="94">
        <v>1.0</v>
      </c>
      <c r="U27" s="96" t="s">
        <v>209</v>
      </c>
      <c r="V27" s="97" t="s">
        <v>210</v>
      </c>
      <c r="W27" s="97" t="s">
        <v>211</v>
      </c>
      <c r="X27" s="79" t="s">
        <v>212</v>
      </c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</row>
    <row r="28" ht="19.5" customHeight="1">
      <c r="A28" s="79">
        <v>17.0</v>
      </c>
      <c r="B28" s="79" t="s">
        <v>23</v>
      </c>
      <c r="C28" s="79" t="s">
        <v>198</v>
      </c>
      <c r="D28" s="79" t="s">
        <v>213</v>
      </c>
      <c r="E28" s="102" t="s">
        <v>214</v>
      </c>
      <c r="F28" s="79" t="s">
        <v>91</v>
      </c>
      <c r="G28" s="80" t="s">
        <v>44</v>
      </c>
      <c r="H28" s="80" t="s">
        <v>21</v>
      </c>
      <c r="I28" s="94" t="s">
        <v>206</v>
      </c>
      <c r="J28" s="80" t="s">
        <v>45</v>
      </c>
      <c r="K28" s="79" t="s">
        <v>207</v>
      </c>
      <c r="L28" s="93" t="s">
        <v>215</v>
      </c>
      <c r="M28" s="83">
        <f t="shared" si="1"/>
        <v>200</v>
      </c>
      <c r="N28" s="84">
        <v>200.0</v>
      </c>
      <c r="O28" s="84">
        <v>0.0</v>
      </c>
      <c r="P28" s="84">
        <v>0.0</v>
      </c>
      <c r="Q28" s="94" t="s">
        <v>216</v>
      </c>
      <c r="R28" s="94">
        <v>1885.86</v>
      </c>
      <c r="S28" s="95" t="s">
        <v>217</v>
      </c>
      <c r="T28" s="94">
        <v>1.0</v>
      </c>
      <c r="U28" s="96" t="s">
        <v>218</v>
      </c>
      <c r="V28" s="97" t="s">
        <v>219</v>
      </c>
      <c r="W28" s="97" t="s">
        <v>220</v>
      </c>
      <c r="X28" s="79" t="s">
        <v>221</v>
      </c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</row>
    <row r="29" ht="19.5" customHeight="1">
      <c r="A29" s="79">
        <v>18.0</v>
      </c>
      <c r="B29" s="80" t="s">
        <v>23</v>
      </c>
      <c r="C29" s="80" t="s">
        <v>222</v>
      </c>
      <c r="D29" s="80" t="s">
        <v>223</v>
      </c>
      <c r="E29" s="81" t="s">
        <v>224</v>
      </c>
      <c r="F29" s="80" t="s">
        <v>81</v>
      </c>
      <c r="G29" s="80" t="s">
        <v>42</v>
      </c>
      <c r="H29" s="80" t="s">
        <v>21</v>
      </c>
      <c r="I29" s="80" t="s">
        <v>82</v>
      </c>
      <c r="J29" s="80" t="s">
        <v>45</v>
      </c>
      <c r="K29" s="95" t="s">
        <v>225</v>
      </c>
      <c r="L29" s="82" t="s">
        <v>226</v>
      </c>
      <c r="M29" s="83">
        <f t="shared" si="1"/>
        <v>723</v>
      </c>
      <c r="N29" s="84">
        <v>723.0</v>
      </c>
      <c r="O29" s="84">
        <v>0.0</v>
      </c>
      <c r="P29" s="84">
        <v>0.0</v>
      </c>
      <c r="Q29" s="94">
        <v>6268.0</v>
      </c>
      <c r="R29" s="94">
        <v>5055.0</v>
      </c>
      <c r="S29" s="95" t="s">
        <v>85</v>
      </c>
      <c r="T29" s="94">
        <v>1.0</v>
      </c>
      <c r="U29" s="96">
        <v>38231.0</v>
      </c>
      <c r="V29" s="97" t="s">
        <v>227</v>
      </c>
      <c r="W29" s="97" t="s">
        <v>228</v>
      </c>
      <c r="X29" s="79" t="s">
        <v>229</v>
      </c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</row>
    <row r="30" ht="19.5" customHeight="1">
      <c r="A30" s="79">
        <v>19.0</v>
      </c>
      <c r="B30" s="79" t="s">
        <v>23</v>
      </c>
      <c r="C30" s="79" t="s">
        <v>222</v>
      </c>
      <c r="D30" s="79" t="s">
        <v>230</v>
      </c>
      <c r="E30" s="102" t="s">
        <v>231</v>
      </c>
      <c r="F30" s="79" t="s">
        <v>91</v>
      </c>
      <c r="G30" s="80" t="s">
        <v>44</v>
      </c>
      <c r="H30" s="80" t="s">
        <v>21</v>
      </c>
      <c r="I30" s="79" t="s">
        <v>232</v>
      </c>
      <c r="J30" s="80" t="s">
        <v>45</v>
      </c>
      <c r="K30" s="79" t="s">
        <v>233</v>
      </c>
      <c r="L30" s="93" t="s">
        <v>234</v>
      </c>
      <c r="M30" s="83">
        <f t="shared" si="1"/>
        <v>30</v>
      </c>
      <c r="N30" s="84">
        <v>30.0</v>
      </c>
      <c r="O30" s="84">
        <v>0.0</v>
      </c>
      <c r="P30" s="84">
        <v>0.0</v>
      </c>
      <c r="Q30" s="94">
        <v>1011.1</v>
      </c>
      <c r="R30" s="94">
        <v>336.62</v>
      </c>
      <c r="S30" s="95" t="s">
        <v>235</v>
      </c>
      <c r="T30" s="94">
        <v>1.0</v>
      </c>
      <c r="U30" s="96">
        <v>44491.0</v>
      </c>
      <c r="V30" s="97" t="s">
        <v>236</v>
      </c>
      <c r="W30" s="97" t="s">
        <v>237</v>
      </c>
      <c r="X30" s="79" t="s">
        <v>238</v>
      </c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</row>
    <row r="31" ht="19.5" customHeight="1">
      <c r="A31" s="79">
        <v>20.0</v>
      </c>
      <c r="B31" s="79" t="s">
        <v>23</v>
      </c>
      <c r="C31" s="79" t="s">
        <v>222</v>
      </c>
      <c r="D31" s="79" t="s">
        <v>223</v>
      </c>
      <c r="E31" s="102" t="s">
        <v>239</v>
      </c>
      <c r="F31" s="79" t="s">
        <v>91</v>
      </c>
      <c r="G31" s="80" t="s">
        <v>44</v>
      </c>
      <c r="H31" s="80" t="s">
        <v>21</v>
      </c>
      <c r="I31" s="79" t="s">
        <v>232</v>
      </c>
      <c r="J31" s="80" t="s">
        <v>45</v>
      </c>
      <c r="K31" s="79" t="s">
        <v>233</v>
      </c>
      <c r="L31" s="93" t="s">
        <v>240</v>
      </c>
      <c r="M31" s="83">
        <f t="shared" si="1"/>
        <v>90</v>
      </c>
      <c r="N31" s="84">
        <v>90.0</v>
      </c>
      <c r="O31" s="84">
        <v>0.0</v>
      </c>
      <c r="P31" s="84">
        <v>0.0</v>
      </c>
      <c r="Q31" s="94">
        <v>1312.0</v>
      </c>
      <c r="R31" s="94">
        <v>818.0</v>
      </c>
      <c r="S31" s="95" t="s">
        <v>241</v>
      </c>
      <c r="T31" s="94">
        <v>1.0</v>
      </c>
      <c r="U31" s="96">
        <v>45282.0</v>
      </c>
      <c r="V31" s="97" t="s">
        <v>242</v>
      </c>
      <c r="W31" s="97" t="s">
        <v>243</v>
      </c>
      <c r="X31" s="79" t="s">
        <v>244</v>
      </c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99"/>
      <c r="AQ31" s="99"/>
      <c r="AR31" s="99"/>
    </row>
    <row r="32" ht="19.5" customHeight="1">
      <c r="A32" s="79">
        <v>21.0</v>
      </c>
      <c r="B32" s="95" t="s">
        <v>23</v>
      </c>
      <c r="C32" s="95" t="s">
        <v>245</v>
      </c>
      <c r="D32" s="95" t="s">
        <v>246</v>
      </c>
      <c r="E32" s="100" t="s">
        <v>247</v>
      </c>
      <c r="F32" s="95" t="s">
        <v>81</v>
      </c>
      <c r="G32" s="80" t="s">
        <v>42</v>
      </c>
      <c r="H32" s="80" t="s">
        <v>21</v>
      </c>
      <c r="I32" s="95" t="s">
        <v>82</v>
      </c>
      <c r="J32" s="80" t="s">
        <v>45</v>
      </c>
      <c r="K32" s="95" t="s">
        <v>248</v>
      </c>
      <c r="L32" s="82" t="s">
        <v>249</v>
      </c>
      <c r="M32" s="83">
        <f t="shared" si="1"/>
        <v>1000</v>
      </c>
      <c r="N32" s="84">
        <v>1000.0</v>
      </c>
      <c r="O32" s="84"/>
      <c r="P32" s="84"/>
      <c r="Q32" s="94">
        <v>3560.0</v>
      </c>
      <c r="R32" s="94">
        <v>8246.0</v>
      </c>
      <c r="S32" s="95" t="s">
        <v>250</v>
      </c>
      <c r="T32" s="94">
        <v>3.0</v>
      </c>
      <c r="U32" s="96">
        <v>35817.0</v>
      </c>
      <c r="V32" s="97" t="s">
        <v>251</v>
      </c>
      <c r="W32" s="97" t="s">
        <v>252</v>
      </c>
      <c r="X32" s="79" t="s">
        <v>253</v>
      </c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</row>
    <row r="33" ht="19.5" customHeight="1">
      <c r="A33" s="79">
        <v>22.0</v>
      </c>
      <c r="B33" s="80" t="s">
        <v>23</v>
      </c>
      <c r="C33" s="80" t="s">
        <v>245</v>
      </c>
      <c r="D33" s="80" t="s">
        <v>254</v>
      </c>
      <c r="E33" s="81" t="s">
        <v>255</v>
      </c>
      <c r="F33" s="80" t="s">
        <v>91</v>
      </c>
      <c r="G33" s="80" t="s">
        <v>44</v>
      </c>
      <c r="H33" s="80" t="s">
        <v>21</v>
      </c>
      <c r="I33" s="80" t="s">
        <v>256</v>
      </c>
      <c r="J33" s="80" t="s">
        <v>45</v>
      </c>
      <c r="K33" s="80" t="s">
        <v>257</v>
      </c>
      <c r="L33" s="82" t="s">
        <v>258</v>
      </c>
      <c r="M33" s="83">
        <f t="shared" si="1"/>
        <v>100</v>
      </c>
      <c r="N33" s="84">
        <v>100.0</v>
      </c>
      <c r="O33" s="84">
        <v>0.0</v>
      </c>
      <c r="P33" s="84">
        <v>0.0</v>
      </c>
      <c r="Q33" s="94">
        <v>1019.0</v>
      </c>
      <c r="R33" s="94">
        <v>2595.0</v>
      </c>
      <c r="S33" s="95" t="s">
        <v>259</v>
      </c>
      <c r="T33" s="94">
        <v>1.0</v>
      </c>
      <c r="U33" s="96">
        <v>40561.0</v>
      </c>
      <c r="V33" s="97" t="s">
        <v>260</v>
      </c>
      <c r="W33" s="97" t="s">
        <v>261</v>
      </c>
      <c r="X33" s="79" t="s">
        <v>262</v>
      </c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</row>
    <row r="34" ht="19.5" customHeight="1">
      <c r="A34" s="79">
        <v>23.0</v>
      </c>
      <c r="B34" s="94" t="s">
        <v>23</v>
      </c>
      <c r="C34" s="94" t="s">
        <v>245</v>
      </c>
      <c r="D34" s="94" t="s">
        <v>246</v>
      </c>
      <c r="E34" s="81" t="s">
        <v>263</v>
      </c>
      <c r="F34" s="94" t="s">
        <v>91</v>
      </c>
      <c r="G34" s="80" t="s">
        <v>44</v>
      </c>
      <c r="H34" s="80" t="s">
        <v>21</v>
      </c>
      <c r="I34" s="80" t="s">
        <v>256</v>
      </c>
      <c r="J34" s="80" t="s">
        <v>45</v>
      </c>
      <c r="K34" s="80" t="s">
        <v>225</v>
      </c>
      <c r="L34" s="82" t="s">
        <v>264</v>
      </c>
      <c r="M34" s="83">
        <f t="shared" si="1"/>
        <v>100</v>
      </c>
      <c r="N34" s="84">
        <v>100.0</v>
      </c>
      <c r="O34" s="84">
        <v>0.0</v>
      </c>
      <c r="P34" s="84">
        <v>0.0</v>
      </c>
      <c r="Q34" s="94">
        <v>470.0</v>
      </c>
      <c r="R34" s="94">
        <v>1239.0</v>
      </c>
      <c r="S34" s="95" t="s">
        <v>265</v>
      </c>
      <c r="T34" s="94">
        <v>1.0</v>
      </c>
      <c r="U34" s="96" t="s">
        <v>266</v>
      </c>
      <c r="V34" s="97" t="s">
        <v>267</v>
      </c>
      <c r="W34" s="97" t="s">
        <v>268</v>
      </c>
      <c r="X34" s="79" t="s">
        <v>269</v>
      </c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</row>
    <row r="35" ht="19.5" customHeight="1">
      <c r="A35" s="79">
        <v>24.0</v>
      </c>
      <c r="B35" s="94" t="s">
        <v>23</v>
      </c>
      <c r="C35" s="94" t="s">
        <v>245</v>
      </c>
      <c r="D35" s="94" t="s">
        <v>270</v>
      </c>
      <c r="E35" s="81" t="s">
        <v>271</v>
      </c>
      <c r="F35" s="95" t="s">
        <v>81</v>
      </c>
      <c r="G35" s="80" t="s">
        <v>49</v>
      </c>
      <c r="H35" s="80" t="s">
        <v>21</v>
      </c>
      <c r="I35" s="95" t="s">
        <v>82</v>
      </c>
      <c r="J35" s="80" t="s">
        <v>45</v>
      </c>
      <c r="K35" s="95" t="s">
        <v>272</v>
      </c>
      <c r="L35" s="82" t="s">
        <v>273</v>
      </c>
      <c r="M35" s="83">
        <f t="shared" si="1"/>
        <v>450</v>
      </c>
      <c r="N35" s="84">
        <v>450.0</v>
      </c>
      <c r="O35" s="84">
        <v>0.0</v>
      </c>
      <c r="P35" s="84">
        <v>0.0</v>
      </c>
      <c r="Q35" s="94">
        <v>2519.0</v>
      </c>
      <c r="R35" s="94">
        <v>3299.0</v>
      </c>
      <c r="S35" s="95" t="s">
        <v>103</v>
      </c>
      <c r="T35" s="94">
        <v>1.0</v>
      </c>
      <c r="U35" s="96">
        <v>43643.0</v>
      </c>
      <c r="V35" s="97" t="s">
        <v>274</v>
      </c>
      <c r="W35" s="97" t="s">
        <v>275</v>
      </c>
      <c r="X35" s="79" t="s">
        <v>276</v>
      </c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</row>
    <row r="36" ht="19.5" customHeight="1">
      <c r="A36" s="79">
        <v>25.0</v>
      </c>
      <c r="B36" s="80" t="s">
        <v>23</v>
      </c>
      <c r="C36" s="80" t="s">
        <v>277</v>
      </c>
      <c r="D36" s="80" t="s">
        <v>278</v>
      </c>
      <c r="E36" s="81" t="s">
        <v>279</v>
      </c>
      <c r="F36" s="80" t="s">
        <v>22</v>
      </c>
      <c r="G36" s="80" t="s">
        <v>46</v>
      </c>
      <c r="H36" s="80" t="s">
        <v>22</v>
      </c>
      <c r="I36" s="80" t="s">
        <v>280</v>
      </c>
      <c r="J36" s="80" t="s">
        <v>43</v>
      </c>
      <c r="K36" s="80" t="s">
        <v>280</v>
      </c>
      <c r="L36" s="82" t="s">
        <v>281</v>
      </c>
      <c r="M36" s="83">
        <f t="shared" si="1"/>
        <v>120</v>
      </c>
      <c r="N36" s="84">
        <v>0.0</v>
      </c>
      <c r="O36" s="84">
        <v>120.0</v>
      </c>
      <c r="P36" s="84">
        <v>0.0</v>
      </c>
      <c r="Q36" s="94">
        <v>43436.0</v>
      </c>
      <c r="R36" s="94">
        <v>2993.0</v>
      </c>
      <c r="S36" s="95" t="s">
        <v>282</v>
      </c>
      <c r="T36" s="94">
        <v>1.0</v>
      </c>
      <c r="U36" s="96">
        <v>38581.0</v>
      </c>
      <c r="V36" s="97" t="s">
        <v>283</v>
      </c>
      <c r="W36" s="97" t="s">
        <v>284</v>
      </c>
      <c r="X36" s="79" t="s">
        <v>285</v>
      </c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</row>
    <row r="37" ht="19.5" customHeight="1">
      <c r="A37" s="79">
        <v>26.0</v>
      </c>
      <c r="B37" s="95" t="s">
        <v>23</v>
      </c>
      <c r="C37" s="95" t="s">
        <v>277</v>
      </c>
      <c r="D37" s="95" t="s">
        <v>286</v>
      </c>
      <c r="E37" s="100" t="s">
        <v>287</v>
      </c>
      <c r="F37" s="95" t="s">
        <v>91</v>
      </c>
      <c r="G37" s="80" t="s">
        <v>44</v>
      </c>
      <c r="H37" s="80" t="s">
        <v>21</v>
      </c>
      <c r="I37" s="95" t="s">
        <v>288</v>
      </c>
      <c r="J37" s="80" t="s">
        <v>45</v>
      </c>
      <c r="K37" s="95" t="s">
        <v>289</v>
      </c>
      <c r="L37" s="82" t="s">
        <v>290</v>
      </c>
      <c r="M37" s="83">
        <f t="shared" si="1"/>
        <v>150</v>
      </c>
      <c r="N37" s="84">
        <v>150.0</v>
      </c>
      <c r="O37" s="84">
        <v>0.0</v>
      </c>
      <c r="P37" s="84">
        <v>0.0</v>
      </c>
      <c r="Q37" s="94">
        <v>4284.0</v>
      </c>
      <c r="R37" s="94">
        <v>1188.0</v>
      </c>
      <c r="S37" s="95" t="s">
        <v>291</v>
      </c>
      <c r="T37" s="94">
        <v>1.0</v>
      </c>
      <c r="U37" s="96">
        <v>37834.0</v>
      </c>
      <c r="V37" s="97" t="s">
        <v>292</v>
      </c>
      <c r="W37" s="97" t="s">
        <v>293</v>
      </c>
      <c r="X37" s="79" t="s">
        <v>294</v>
      </c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</row>
    <row r="38" ht="19.5" customHeight="1">
      <c r="A38" s="79">
        <v>27.0</v>
      </c>
      <c r="B38" s="80" t="s">
        <v>23</v>
      </c>
      <c r="C38" s="80" t="s">
        <v>277</v>
      </c>
      <c r="D38" s="80" t="s">
        <v>295</v>
      </c>
      <c r="E38" s="81" t="s">
        <v>296</v>
      </c>
      <c r="F38" s="80" t="s">
        <v>91</v>
      </c>
      <c r="G38" s="80" t="s">
        <v>44</v>
      </c>
      <c r="H38" s="80" t="s">
        <v>21</v>
      </c>
      <c r="I38" s="80" t="s">
        <v>288</v>
      </c>
      <c r="J38" s="80" t="s">
        <v>45</v>
      </c>
      <c r="K38" s="80" t="s">
        <v>297</v>
      </c>
      <c r="L38" s="82" t="s">
        <v>298</v>
      </c>
      <c r="M38" s="83">
        <f t="shared" si="1"/>
        <v>100</v>
      </c>
      <c r="N38" s="84">
        <v>100.0</v>
      </c>
      <c r="O38" s="84">
        <v>0.0</v>
      </c>
      <c r="P38" s="84">
        <v>0.0</v>
      </c>
      <c r="Q38" s="94">
        <v>2390.0</v>
      </c>
      <c r="R38" s="94">
        <v>1745.0</v>
      </c>
      <c r="S38" s="95" t="s">
        <v>103</v>
      </c>
      <c r="T38" s="94">
        <v>1.0</v>
      </c>
      <c r="U38" s="96">
        <v>37279.0</v>
      </c>
      <c r="V38" s="97" t="s">
        <v>299</v>
      </c>
      <c r="W38" s="97" t="s">
        <v>300</v>
      </c>
      <c r="X38" s="79" t="s">
        <v>301</v>
      </c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</row>
    <row r="39" ht="19.5" customHeight="1">
      <c r="A39" s="79">
        <v>28.0</v>
      </c>
      <c r="B39" s="95" t="s">
        <v>23</v>
      </c>
      <c r="C39" s="95" t="s">
        <v>277</v>
      </c>
      <c r="D39" s="95" t="s">
        <v>302</v>
      </c>
      <c r="E39" s="100" t="s">
        <v>303</v>
      </c>
      <c r="F39" s="95" t="s">
        <v>81</v>
      </c>
      <c r="G39" s="80" t="s">
        <v>42</v>
      </c>
      <c r="H39" s="80" t="s">
        <v>21</v>
      </c>
      <c r="I39" s="95" t="s">
        <v>82</v>
      </c>
      <c r="J39" s="80" t="s">
        <v>45</v>
      </c>
      <c r="K39" s="95" t="s">
        <v>272</v>
      </c>
      <c r="L39" s="82" t="s">
        <v>304</v>
      </c>
      <c r="M39" s="83">
        <f t="shared" si="1"/>
        <v>713</v>
      </c>
      <c r="N39" s="84">
        <v>713.0</v>
      </c>
      <c r="O39" s="84">
        <v>0.0</v>
      </c>
      <c r="P39" s="84">
        <v>0.0</v>
      </c>
      <c r="Q39" s="94">
        <v>61563.0</v>
      </c>
      <c r="R39" s="94">
        <v>14246.0</v>
      </c>
      <c r="S39" s="95" t="s">
        <v>305</v>
      </c>
      <c r="T39" s="94">
        <v>1.0</v>
      </c>
      <c r="U39" s="96">
        <v>38647.0</v>
      </c>
      <c r="V39" s="97" t="s">
        <v>306</v>
      </c>
      <c r="W39" s="97" t="s">
        <v>307</v>
      </c>
      <c r="X39" s="79" t="s">
        <v>308</v>
      </c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</row>
    <row r="40" ht="19.5" customHeight="1">
      <c r="A40" s="79">
        <v>29.0</v>
      </c>
      <c r="B40" s="95" t="s">
        <v>23</v>
      </c>
      <c r="C40" s="95" t="s">
        <v>277</v>
      </c>
      <c r="D40" s="95" t="s">
        <v>309</v>
      </c>
      <c r="E40" s="100" t="s">
        <v>310</v>
      </c>
      <c r="F40" s="95" t="s">
        <v>311</v>
      </c>
      <c r="G40" s="80" t="s">
        <v>46</v>
      </c>
      <c r="H40" s="80" t="s">
        <v>21</v>
      </c>
      <c r="I40" s="95" t="s">
        <v>312</v>
      </c>
      <c r="J40" s="80" t="s">
        <v>43</v>
      </c>
      <c r="K40" s="95" t="s">
        <v>312</v>
      </c>
      <c r="L40" s="82" t="s">
        <v>313</v>
      </c>
      <c r="M40" s="83">
        <f t="shared" si="1"/>
        <v>336</v>
      </c>
      <c r="N40" s="84">
        <v>196.0</v>
      </c>
      <c r="O40" s="84">
        <v>100.0</v>
      </c>
      <c r="P40" s="84">
        <v>40.0</v>
      </c>
      <c r="Q40" s="94">
        <v>8480.0</v>
      </c>
      <c r="R40" s="94">
        <v>2994.0</v>
      </c>
      <c r="S40" s="95" t="s">
        <v>314</v>
      </c>
      <c r="T40" s="94">
        <v>2.0</v>
      </c>
      <c r="U40" s="96">
        <v>40822.0</v>
      </c>
      <c r="V40" s="97" t="s">
        <v>315</v>
      </c>
      <c r="W40" s="97" t="s">
        <v>316</v>
      </c>
      <c r="X40" s="79"/>
      <c r="Y40" s="105"/>
      <c r="Z40" s="105"/>
      <c r="AA40" s="105"/>
      <c r="AB40" s="105"/>
      <c r="AC40" s="105"/>
      <c r="AD40" s="105"/>
      <c r="AE40" s="105"/>
      <c r="AF40" s="105"/>
      <c r="AG40" s="105"/>
      <c r="AH40" s="105"/>
      <c r="AI40" s="105"/>
      <c r="AJ40" s="105"/>
      <c r="AK40" s="105"/>
      <c r="AL40" s="105"/>
      <c r="AM40" s="105"/>
      <c r="AN40" s="105"/>
      <c r="AO40" s="105"/>
      <c r="AP40" s="105"/>
      <c r="AQ40" s="105"/>
      <c r="AR40" s="105"/>
    </row>
    <row r="41" ht="19.5" customHeight="1">
      <c r="A41" s="79">
        <v>30.0</v>
      </c>
      <c r="B41" s="95" t="s">
        <v>23</v>
      </c>
      <c r="C41" s="95" t="s">
        <v>277</v>
      </c>
      <c r="D41" s="95" t="s">
        <v>309</v>
      </c>
      <c r="E41" s="100" t="s">
        <v>317</v>
      </c>
      <c r="F41" s="95" t="s">
        <v>91</v>
      </c>
      <c r="G41" s="80" t="s">
        <v>44</v>
      </c>
      <c r="H41" s="80" t="s">
        <v>21</v>
      </c>
      <c r="I41" s="95" t="s">
        <v>288</v>
      </c>
      <c r="J41" s="80" t="s">
        <v>45</v>
      </c>
      <c r="K41" s="95" t="s">
        <v>318</v>
      </c>
      <c r="L41" s="82" t="s">
        <v>319</v>
      </c>
      <c r="M41" s="83">
        <f t="shared" si="1"/>
        <v>121</v>
      </c>
      <c r="N41" s="84">
        <v>121.0</v>
      </c>
      <c r="O41" s="84">
        <v>0.0</v>
      </c>
      <c r="P41" s="84">
        <v>0.0</v>
      </c>
      <c r="Q41" s="94">
        <v>555.0</v>
      </c>
      <c r="R41" s="94">
        <v>1046.0</v>
      </c>
      <c r="S41" s="95" t="s">
        <v>320</v>
      </c>
      <c r="T41" s="94">
        <v>1.0</v>
      </c>
      <c r="U41" s="96">
        <v>44546.0</v>
      </c>
      <c r="V41" s="97" t="s">
        <v>321</v>
      </c>
      <c r="W41" s="97" t="s">
        <v>322</v>
      </c>
      <c r="X41" s="79" t="s">
        <v>323</v>
      </c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</row>
    <row r="42" ht="19.5" customHeight="1">
      <c r="A42" s="79">
        <v>31.0</v>
      </c>
      <c r="B42" s="80" t="s">
        <v>23</v>
      </c>
      <c r="C42" s="80" t="s">
        <v>324</v>
      </c>
      <c r="D42" s="80" t="s">
        <v>325</v>
      </c>
      <c r="E42" s="81" t="s">
        <v>326</v>
      </c>
      <c r="F42" s="80" t="s">
        <v>81</v>
      </c>
      <c r="G42" s="80" t="s">
        <v>42</v>
      </c>
      <c r="H42" s="80" t="s">
        <v>21</v>
      </c>
      <c r="I42" s="80" t="s">
        <v>82</v>
      </c>
      <c r="J42" s="80" t="s">
        <v>45</v>
      </c>
      <c r="K42" s="80" t="s">
        <v>119</v>
      </c>
      <c r="L42" s="82" t="s">
        <v>327</v>
      </c>
      <c r="M42" s="83">
        <f t="shared" si="1"/>
        <v>721</v>
      </c>
      <c r="N42" s="84">
        <v>721.0</v>
      </c>
      <c r="O42" s="84"/>
      <c r="P42" s="84"/>
      <c r="Q42" s="94">
        <v>2899.0</v>
      </c>
      <c r="R42" s="94">
        <v>4929.0</v>
      </c>
      <c r="S42" s="95" t="s">
        <v>95</v>
      </c>
      <c r="T42" s="94">
        <v>1.0</v>
      </c>
      <c r="U42" s="96">
        <v>37743.0</v>
      </c>
      <c r="V42" s="97" t="s">
        <v>328</v>
      </c>
      <c r="W42" s="97" t="s">
        <v>329</v>
      </c>
      <c r="X42" s="79" t="s">
        <v>330</v>
      </c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</row>
    <row r="43" ht="19.5" customHeight="1">
      <c r="A43" s="79">
        <v>32.0</v>
      </c>
      <c r="B43" s="80" t="s">
        <v>23</v>
      </c>
      <c r="C43" s="80" t="s">
        <v>331</v>
      </c>
      <c r="D43" s="80" t="s">
        <v>332</v>
      </c>
      <c r="E43" s="81" t="s">
        <v>333</v>
      </c>
      <c r="F43" s="80" t="s">
        <v>91</v>
      </c>
      <c r="G43" s="80" t="s">
        <v>44</v>
      </c>
      <c r="H43" s="80" t="s">
        <v>21</v>
      </c>
      <c r="I43" s="80" t="s">
        <v>334</v>
      </c>
      <c r="J43" s="80" t="s">
        <v>45</v>
      </c>
      <c r="K43" s="95" t="s">
        <v>318</v>
      </c>
      <c r="L43" s="82" t="s">
        <v>335</v>
      </c>
      <c r="M43" s="83">
        <f t="shared" si="1"/>
        <v>200</v>
      </c>
      <c r="N43" s="84">
        <v>200.0</v>
      </c>
      <c r="O43" s="84">
        <v>0.0</v>
      </c>
      <c r="P43" s="84">
        <v>0.0</v>
      </c>
      <c r="Q43" s="94" t="s">
        <v>336</v>
      </c>
      <c r="R43" s="94">
        <v>918.0</v>
      </c>
      <c r="S43" s="95" t="s">
        <v>103</v>
      </c>
      <c r="T43" s="94">
        <v>1.0</v>
      </c>
      <c r="U43" s="96">
        <v>33305.0</v>
      </c>
      <c r="V43" s="97" t="s">
        <v>337</v>
      </c>
      <c r="W43" s="97" t="s">
        <v>338</v>
      </c>
      <c r="X43" s="79" t="s">
        <v>339</v>
      </c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</row>
    <row r="44" ht="19.5" customHeight="1">
      <c r="A44" s="79">
        <v>33.0</v>
      </c>
      <c r="B44" s="80" t="s">
        <v>23</v>
      </c>
      <c r="C44" s="80" t="s">
        <v>331</v>
      </c>
      <c r="D44" s="80" t="s">
        <v>340</v>
      </c>
      <c r="E44" s="81" t="s">
        <v>341</v>
      </c>
      <c r="F44" s="95" t="s">
        <v>91</v>
      </c>
      <c r="G44" s="80" t="s">
        <v>44</v>
      </c>
      <c r="H44" s="80" t="s">
        <v>21</v>
      </c>
      <c r="I44" s="95" t="s">
        <v>334</v>
      </c>
      <c r="J44" s="80" t="s">
        <v>45</v>
      </c>
      <c r="K44" s="95" t="s">
        <v>318</v>
      </c>
      <c r="L44" s="82" t="s">
        <v>342</v>
      </c>
      <c r="M44" s="83">
        <f t="shared" si="1"/>
        <v>200</v>
      </c>
      <c r="N44" s="84">
        <v>200.0</v>
      </c>
      <c r="O44" s="84">
        <v>0.0</v>
      </c>
      <c r="P44" s="84">
        <v>0.0</v>
      </c>
      <c r="Q44" s="94" t="s">
        <v>336</v>
      </c>
      <c r="R44" s="94">
        <v>1284.0</v>
      </c>
      <c r="S44" s="95" t="s">
        <v>103</v>
      </c>
      <c r="T44" s="94">
        <v>1.0</v>
      </c>
      <c r="U44" s="96">
        <v>38677.0</v>
      </c>
      <c r="V44" s="97" t="s">
        <v>343</v>
      </c>
      <c r="W44" s="97" t="s">
        <v>344</v>
      </c>
      <c r="X44" s="79" t="s">
        <v>345</v>
      </c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</row>
    <row r="45" ht="19.5" customHeight="1">
      <c r="A45" s="79">
        <v>34.0</v>
      </c>
      <c r="B45" s="80" t="s">
        <v>23</v>
      </c>
      <c r="C45" s="80" t="s">
        <v>331</v>
      </c>
      <c r="D45" s="80" t="s">
        <v>346</v>
      </c>
      <c r="E45" s="81" t="s">
        <v>347</v>
      </c>
      <c r="F45" s="95" t="s">
        <v>81</v>
      </c>
      <c r="G45" s="80" t="s">
        <v>42</v>
      </c>
      <c r="H45" s="80" t="s">
        <v>21</v>
      </c>
      <c r="I45" s="95" t="s">
        <v>82</v>
      </c>
      <c r="J45" s="80" t="s">
        <v>45</v>
      </c>
      <c r="K45" s="95" t="s">
        <v>348</v>
      </c>
      <c r="L45" s="82" t="s">
        <v>349</v>
      </c>
      <c r="M45" s="83">
        <f t="shared" si="1"/>
        <v>720</v>
      </c>
      <c r="N45" s="84">
        <v>720.0</v>
      </c>
      <c r="O45" s="84">
        <v>0.0</v>
      </c>
      <c r="P45" s="84">
        <v>0.0</v>
      </c>
      <c r="Q45" s="94">
        <v>4223.0</v>
      </c>
      <c r="R45" s="94">
        <v>5260.0</v>
      </c>
      <c r="S45" s="95" t="s">
        <v>350</v>
      </c>
      <c r="T45" s="94">
        <v>2.0</v>
      </c>
      <c r="U45" s="96">
        <v>40162.0</v>
      </c>
      <c r="V45" s="97" t="s">
        <v>351</v>
      </c>
      <c r="W45" s="97" t="s">
        <v>352</v>
      </c>
      <c r="X45" s="79" t="s">
        <v>353</v>
      </c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</row>
    <row r="46" ht="19.5" customHeight="1">
      <c r="A46" s="79">
        <v>35.0</v>
      </c>
      <c r="B46" s="91" t="s">
        <v>23</v>
      </c>
      <c r="C46" s="91" t="s">
        <v>331</v>
      </c>
      <c r="D46" s="91" t="s">
        <v>354</v>
      </c>
      <c r="E46" s="92" t="s">
        <v>355</v>
      </c>
      <c r="F46" s="91" t="s">
        <v>91</v>
      </c>
      <c r="G46" s="80" t="s">
        <v>44</v>
      </c>
      <c r="H46" s="80" t="s">
        <v>21</v>
      </c>
      <c r="I46" s="91" t="s">
        <v>334</v>
      </c>
      <c r="J46" s="80" t="s">
        <v>45</v>
      </c>
      <c r="K46" s="79" t="s">
        <v>297</v>
      </c>
      <c r="L46" s="93" t="s">
        <v>356</v>
      </c>
      <c r="M46" s="83">
        <f t="shared" si="1"/>
        <v>200</v>
      </c>
      <c r="N46" s="84">
        <v>200.0</v>
      </c>
      <c r="O46" s="84">
        <v>0.0</v>
      </c>
      <c r="P46" s="84">
        <v>0.0</v>
      </c>
      <c r="Q46" s="94" t="s">
        <v>336</v>
      </c>
      <c r="R46" s="94">
        <v>1491.5</v>
      </c>
      <c r="S46" s="95" t="s">
        <v>357</v>
      </c>
      <c r="T46" s="94">
        <v>1.0</v>
      </c>
      <c r="U46" s="96">
        <v>44862.0</v>
      </c>
      <c r="V46" s="97" t="s">
        <v>358</v>
      </c>
      <c r="W46" s="97" t="s">
        <v>359</v>
      </c>
      <c r="X46" s="79" t="s">
        <v>360</v>
      </c>
      <c r="Y46" s="98"/>
      <c r="Z46" s="98"/>
      <c r="AA46" s="98"/>
      <c r="AB46" s="98"/>
      <c r="AC46" s="98"/>
      <c r="AD46" s="98"/>
      <c r="AE46" s="98"/>
      <c r="AF46" s="98"/>
      <c r="AG46" s="98"/>
      <c r="AH46" s="98"/>
      <c r="AI46" s="98"/>
      <c r="AJ46" s="98"/>
      <c r="AK46" s="98"/>
      <c r="AL46" s="98"/>
      <c r="AM46" s="98"/>
      <c r="AN46" s="98"/>
      <c r="AO46" s="98"/>
      <c r="AP46" s="98"/>
      <c r="AQ46" s="98"/>
      <c r="AR46" s="98"/>
    </row>
    <row r="47" ht="19.5" customHeight="1">
      <c r="A47" s="79">
        <v>36.0</v>
      </c>
      <c r="B47" s="80" t="s">
        <v>23</v>
      </c>
      <c r="C47" s="80" t="s">
        <v>361</v>
      </c>
      <c r="D47" s="80" t="s">
        <v>362</v>
      </c>
      <c r="E47" s="81" t="s">
        <v>363</v>
      </c>
      <c r="F47" s="80" t="s">
        <v>81</v>
      </c>
      <c r="G47" s="80" t="s">
        <v>42</v>
      </c>
      <c r="H47" s="80" t="s">
        <v>21</v>
      </c>
      <c r="I47" s="80" t="s">
        <v>82</v>
      </c>
      <c r="J47" s="80" t="s">
        <v>45</v>
      </c>
      <c r="K47" s="80" t="s">
        <v>364</v>
      </c>
      <c r="L47" s="82" t="s">
        <v>365</v>
      </c>
      <c r="M47" s="83">
        <f t="shared" si="1"/>
        <v>750</v>
      </c>
      <c r="N47" s="84">
        <v>750.0</v>
      </c>
      <c r="O47" s="84">
        <v>0.0</v>
      </c>
      <c r="P47" s="84">
        <v>0.0</v>
      </c>
      <c r="Q47" s="94">
        <v>2286.0</v>
      </c>
      <c r="R47" s="94">
        <v>5208.0</v>
      </c>
      <c r="S47" s="95" t="s">
        <v>112</v>
      </c>
      <c r="T47" s="94">
        <v>1.0</v>
      </c>
      <c r="U47" s="96">
        <v>39753.0</v>
      </c>
      <c r="V47" s="97" t="s">
        <v>366</v>
      </c>
      <c r="W47" s="97" t="s">
        <v>367</v>
      </c>
      <c r="X47" s="79" t="s">
        <v>368</v>
      </c>
      <c r="Y47" s="98"/>
      <c r="Z47" s="98"/>
      <c r="AA47" s="98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8"/>
      <c r="AQ47" s="98"/>
      <c r="AR47" s="98"/>
    </row>
    <row r="48" ht="19.5" customHeight="1">
      <c r="A48" s="79">
        <v>37.0</v>
      </c>
      <c r="B48" s="80" t="s">
        <v>23</v>
      </c>
      <c r="C48" s="80" t="s">
        <v>361</v>
      </c>
      <c r="D48" s="80" t="s">
        <v>369</v>
      </c>
      <c r="E48" s="81" t="s">
        <v>370</v>
      </c>
      <c r="F48" s="80" t="s">
        <v>91</v>
      </c>
      <c r="G48" s="80" t="s">
        <v>44</v>
      </c>
      <c r="H48" s="80" t="s">
        <v>21</v>
      </c>
      <c r="I48" s="80" t="s">
        <v>371</v>
      </c>
      <c r="J48" s="80" t="s">
        <v>45</v>
      </c>
      <c r="K48" s="80" t="s">
        <v>207</v>
      </c>
      <c r="L48" s="82" t="s">
        <v>372</v>
      </c>
      <c r="M48" s="83">
        <f t="shared" si="1"/>
        <v>500</v>
      </c>
      <c r="N48" s="84">
        <v>500.0</v>
      </c>
      <c r="O48" s="84"/>
      <c r="P48" s="84"/>
      <c r="Q48" s="94">
        <v>1463.0</v>
      </c>
      <c r="R48" s="94">
        <v>3687.0</v>
      </c>
      <c r="S48" s="95" t="s">
        <v>373</v>
      </c>
      <c r="T48" s="94">
        <v>1.0</v>
      </c>
      <c r="U48" s="96">
        <v>40252.0</v>
      </c>
      <c r="V48" s="97" t="s">
        <v>374</v>
      </c>
      <c r="W48" s="97" t="s">
        <v>375</v>
      </c>
      <c r="X48" s="79" t="s">
        <v>376</v>
      </c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</row>
    <row r="49" ht="19.5" customHeight="1">
      <c r="A49" s="79">
        <v>38.0</v>
      </c>
      <c r="B49" s="80" t="s">
        <v>23</v>
      </c>
      <c r="C49" s="80" t="s">
        <v>361</v>
      </c>
      <c r="D49" s="80" t="s">
        <v>377</v>
      </c>
      <c r="E49" s="81" t="s">
        <v>378</v>
      </c>
      <c r="F49" s="80" t="s">
        <v>91</v>
      </c>
      <c r="G49" s="80" t="s">
        <v>44</v>
      </c>
      <c r="H49" s="80" t="s">
        <v>21</v>
      </c>
      <c r="I49" s="80" t="s">
        <v>371</v>
      </c>
      <c r="J49" s="80" t="s">
        <v>45</v>
      </c>
      <c r="K49" s="80" t="s">
        <v>207</v>
      </c>
      <c r="L49" s="82" t="s">
        <v>379</v>
      </c>
      <c r="M49" s="83">
        <f t="shared" si="1"/>
        <v>200</v>
      </c>
      <c r="N49" s="84">
        <v>200.0</v>
      </c>
      <c r="O49" s="84"/>
      <c r="P49" s="84"/>
      <c r="Q49" s="94">
        <v>658.0</v>
      </c>
      <c r="R49" s="94">
        <v>1114.0</v>
      </c>
      <c r="S49" s="95" t="s">
        <v>380</v>
      </c>
      <c r="T49" s="94">
        <v>1.0</v>
      </c>
      <c r="U49" s="96">
        <v>41561.0</v>
      </c>
      <c r="V49" s="97" t="s">
        <v>381</v>
      </c>
      <c r="W49" s="97" t="s">
        <v>382</v>
      </c>
      <c r="X49" s="79" t="s">
        <v>383</v>
      </c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</row>
    <row r="50" ht="19.5" customHeight="1">
      <c r="A50" s="79">
        <v>39.0</v>
      </c>
      <c r="B50" s="80" t="s">
        <v>23</v>
      </c>
      <c r="C50" s="80" t="s">
        <v>361</v>
      </c>
      <c r="D50" s="80" t="s">
        <v>384</v>
      </c>
      <c r="E50" s="81" t="s">
        <v>385</v>
      </c>
      <c r="F50" s="80" t="s">
        <v>91</v>
      </c>
      <c r="G50" s="80" t="s">
        <v>44</v>
      </c>
      <c r="H50" s="80" t="s">
        <v>21</v>
      </c>
      <c r="I50" s="80" t="s">
        <v>371</v>
      </c>
      <c r="J50" s="80" t="s">
        <v>45</v>
      </c>
      <c r="K50" s="80" t="s">
        <v>297</v>
      </c>
      <c r="L50" s="82" t="s">
        <v>386</v>
      </c>
      <c r="M50" s="83">
        <f t="shared" si="1"/>
        <v>210</v>
      </c>
      <c r="N50" s="84">
        <v>210.0</v>
      </c>
      <c r="O50" s="84"/>
      <c r="P50" s="84"/>
      <c r="Q50" s="94">
        <v>990.0</v>
      </c>
      <c r="R50" s="94">
        <v>974.16</v>
      </c>
      <c r="S50" s="95" t="s">
        <v>387</v>
      </c>
      <c r="T50" s="94">
        <v>1.0</v>
      </c>
      <c r="U50" s="96">
        <v>41913.0</v>
      </c>
      <c r="V50" s="97" t="s">
        <v>388</v>
      </c>
      <c r="W50" s="97" t="s">
        <v>389</v>
      </c>
      <c r="X50" s="79" t="s">
        <v>390</v>
      </c>
      <c r="Y50" s="98"/>
      <c r="Z50" s="98"/>
      <c r="AA50" s="98"/>
      <c r="AB50" s="98"/>
      <c r="AC50" s="98"/>
      <c r="AD50" s="98"/>
      <c r="AE50" s="98"/>
      <c r="AF50" s="98"/>
      <c r="AG50" s="98"/>
      <c r="AH50" s="98"/>
      <c r="AI50" s="98"/>
      <c r="AJ50" s="98"/>
      <c r="AK50" s="98"/>
      <c r="AL50" s="98"/>
      <c r="AM50" s="98"/>
      <c r="AN50" s="98"/>
      <c r="AO50" s="98"/>
      <c r="AP50" s="98"/>
      <c r="AQ50" s="98"/>
      <c r="AR50" s="98"/>
    </row>
    <row r="51" ht="19.5" customHeight="1">
      <c r="A51" s="79">
        <v>40.0</v>
      </c>
      <c r="B51" s="80" t="s">
        <v>23</v>
      </c>
      <c r="C51" s="80" t="s">
        <v>391</v>
      </c>
      <c r="D51" s="80" t="s">
        <v>392</v>
      </c>
      <c r="E51" s="81" t="s">
        <v>393</v>
      </c>
      <c r="F51" s="80" t="s">
        <v>81</v>
      </c>
      <c r="G51" s="80" t="s">
        <v>42</v>
      </c>
      <c r="H51" s="80" t="s">
        <v>21</v>
      </c>
      <c r="I51" s="80" t="s">
        <v>82</v>
      </c>
      <c r="J51" s="80" t="s">
        <v>45</v>
      </c>
      <c r="K51" s="80" t="s">
        <v>207</v>
      </c>
      <c r="L51" s="82" t="s">
        <v>394</v>
      </c>
      <c r="M51" s="83">
        <f t="shared" si="1"/>
        <v>752</v>
      </c>
      <c r="N51" s="84">
        <v>752.0</v>
      </c>
      <c r="O51" s="84">
        <v>0.0</v>
      </c>
      <c r="P51" s="84">
        <v>0.0</v>
      </c>
      <c r="Q51" s="94">
        <v>6257.0</v>
      </c>
      <c r="R51" s="94">
        <v>5804.0</v>
      </c>
      <c r="S51" s="95" t="s">
        <v>103</v>
      </c>
      <c r="T51" s="94">
        <v>2.0</v>
      </c>
      <c r="U51" s="96">
        <v>38166.0</v>
      </c>
      <c r="V51" s="97" t="s">
        <v>395</v>
      </c>
      <c r="W51" s="97" t="s">
        <v>396</v>
      </c>
      <c r="X51" s="79" t="s">
        <v>397</v>
      </c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  <c r="AI51" s="104"/>
      <c r="AJ51" s="104"/>
      <c r="AK51" s="104"/>
      <c r="AL51" s="104"/>
      <c r="AM51" s="104"/>
      <c r="AN51" s="104"/>
      <c r="AO51" s="104"/>
      <c r="AP51" s="104"/>
      <c r="AQ51" s="104"/>
      <c r="AR51" s="104"/>
    </row>
    <row r="52" ht="19.5" customHeight="1">
      <c r="A52" s="79">
        <v>41.0</v>
      </c>
      <c r="B52" s="80" t="s">
        <v>23</v>
      </c>
      <c r="C52" s="80" t="s">
        <v>391</v>
      </c>
      <c r="D52" s="80" t="s">
        <v>398</v>
      </c>
      <c r="E52" s="81" t="s">
        <v>399</v>
      </c>
      <c r="F52" s="80" t="s">
        <v>91</v>
      </c>
      <c r="G52" s="80" t="s">
        <v>44</v>
      </c>
      <c r="H52" s="80" t="s">
        <v>21</v>
      </c>
      <c r="I52" s="80" t="s">
        <v>400</v>
      </c>
      <c r="J52" s="80" t="s">
        <v>45</v>
      </c>
      <c r="K52" s="80" t="s">
        <v>207</v>
      </c>
      <c r="L52" s="82" t="s">
        <v>401</v>
      </c>
      <c r="M52" s="83">
        <f t="shared" si="1"/>
        <v>120</v>
      </c>
      <c r="N52" s="84">
        <v>120.0</v>
      </c>
      <c r="O52" s="84"/>
      <c r="P52" s="84"/>
      <c r="Q52" s="94">
        <v>442.0</v>
      </c>
      <c r="R52" s="94">
        <v>970.0</v>
      </c>
      <c r="S52" s="95" t="s">
        <v>103</v>
      </c>
      <c r="T52" s="94">
        <v>1.0</v>
      </c>
      <c r="U52" s="96">
        <v>40877.0</v>
      </c>
      <c r="V52" s="97" t="s">
        <v>402</v>
      </c>
      <c r="W52" s="97" t="s">
        <v>403</v>
      </c>
      <c r="X52" s="79" t="s">
        <v>404</v>
      </c>
      <c r="Y52" s="104"/>
      <c r="Z52" s="104"/>
      <c r="AA52" s="104"/>
      <c r="AB52" s="104"/>
      <c r="AC52" s="104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  <c r="AP52" s="104"/>
      <c r="AQ52" s="104"/>
      <c r="AR52" s="104"/>
    </row>
    <row r="53" ht="19.5" customHeight="1">
      <c r="A53" s="79">
        <v>42.0</v>
      </c>
      <c r="B53" s="79" t="s">
        <v>23</v>
      </c>
      <c r="C53" s="79" t="s">
        <v>391</v>
      </c>
      <c r="D53" s="79" t="s">
        <v>405</v>
      </c>
      <c r="E53" s="102" t="s">
        <v>406</v>
      </c>
      <c r="F53" s="79" t="s">
        <v>91</v>
      </c>
      <c r="G53" s="80" t="s">
        <v>44</v>
      </c>
      <c r="H53" s="80" t="s">
        <v>21</v>
      </c>
      <c r="I53" s="80" t="s">
        <v>400</v>
      </c>
      <c r="J53" s="80" t="s">
        <v>45</v>
      </c>
      <c r="K53" s="79" t="s">
        <v>207</v>
      </c>
      <c r="L53" s="93" t="s">
        <v>407</v>
      </c>
      <c r="M53" s="83">
        <f t="shared" si="1"/>
        <v>222</v>
      </c>
      <c r="N53" s="84">
        <v>222.0</v>
      </c>
      <c r="O53" s="84"/>
      <c r="P53" s="84"/>
      <c r="Q53" s="94">
        <v>600.2</v>
      </c>
      <c r="R53" s="94">
        <v>1623.17</v>
      </c>
      <c r="S53" s="95" t="s">
        <v>194</v>
      </c>
      <c r="T53" s="94">
        <v>1.0</v>
      </c>
      <c r="U53" s="96">
        <v>45182.0</v>
      </c>
      <c r="V53" s="97" t="s">
        <v>408</v>
      </c>
      <c r="W53" s="97" t="s">
        <v>409</v>
      </c>
      <c r="X53" s="79" t="s">
        <v>410</v>
      </c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</row>
    <row r="54" ht="19.5" customHeight="1">
      <c r="A54" s="79">
        <v>43.0</v>
      </c>
      <c r="B54" s="80" t="s">
        <v>23</v>
      </c>
      <c r="C54" s="80" t="s">
        <v>411</v>
      </c>
      <c r="D54" s="80" t="s">
        <v>412</v>
      </c>
      <c r="E54" s="81" t="s">
        <v>413</v>
      </c>
      <c r="F54" s="80" t="s">
        <v>91</v>
      </c>
      <c r="G54" s="80" t="s">
        <v>42</v>
      </c>
      <c r="H54" s="80" t="s">
        <v>21</v>
      </c>
      <c r="I54" s="80" t="s">
        <v>414</v>
      </c>
      <c r="J54" s="80" t="s">
        <v>45</v>
      </c>
      <c r="K54" s="80" t="s">
        <v>248</v>
      </c>
      <c r="L54" s="82" t="s">
        <v>415</v>
      </c>
      <c r="M54" s="83">
        <f t="shared" si="1"/>
        <v>326</v>
      </c>
      <c r="N54" s="84">
        <v>326.0</v>
      </c>
      <c r="O54" s="84">
        <v>0.0</v>
      </c>
      <c r="P54" s="84">
        <v>0.0</v>
      </c>
      <c r="Q54" s="94">
        <v>574.0</v>
      </c>
      <c r="R54" s="94">
        <v>1760.0</v>
      </c>
      <c r="S54" s="95" t="s">
        <v>416</v>
      </c>
      <c r="T54" s="94">
        <v>1.0</v>
      </c>
      <c r="U54" s="96">
        <v>37862.0</v>
      </c>
      <c r="V54" s="97" t="s">
        <v>417</v>
      </c>
      <c r="W54" s="97" t="s">
        <v>418</v>
      </c>
      <c r="X54" s="79" t="s">
        <v>419</v>
      </c>
      <c r="Y54" s="105"/>
      <c r="Z54" s="105"/>
      <c r="AA54" s="105"/>
      <c r="AB54" s="105"/>
      <c r="AC54" s="105"/>
      <c r="AD54" s="105"/>
      <c r="AE54" s="105"/>
      <c r="AF54" s="105"/>
      <c r="AG54" s="105"/>
      <c r="AH54" s="105"/>
      <c r="AI54" s="105"/>
      <c r="AJ54" s="105"/>
      <c r="AK54" s="105"/>
      <c r="AL54" s="105"/>
      <c r="AM54" s="105"/>
      <c r="AN54" s="105"/>
      <c r="AO54" s="105"/>
      <c r="AP54" s="105"/>
      <c r="AQ54" s="105"/>
      <c r="AR54" s="105"/>
    </row>
    <row r="55" ht="19.5" customHeight="1">
      <c r="A55" s="79">
        <v>44.0</v>
      </c>
      <c r="B55" s="80" t="s">
        <v>23</v>
      </c>
      <c r="C55" s="80" t="s">
        <v>411</v>
      </c>
      <c r="D55" s="80" t="s">
        <v>420</v>
      </c>
      <c r="E55" s="81" t="s">
        <v>421</v>
      </c>
      <c r="F55" s="80" t="s">
        <v>91</v>
      </c>
      <c r="G55" s="80" t="s">
        <v>42</v>
      </c>
      <c r="H55" s="80" t="s">
        <v>21</v>
      </c>
      <c r="I55" s="80" t="s">
        <v>414</v>
      </c>
      <c r="J55" s="80" t="s">
        <v>45</v>
      </c>
      <c r="K55" s="80" t="s">
        <v>348</v>
      </c>
      <c r="L55" s="82" t="s">
        <v>422</v>
      </c>
      <c r="M55" s="83">
        <f t="shared" si="1"/>
        <v>450</v>
      </c>
      <c r="N55" s="84">
        <v>450.0</v>
      </c>
      <c r="O55" s="84">
        <v>0.0</v>
      </c>
      <c r="P55" s="84">
        <v>0.0</v>
      </c>
      <c r="Q55" s="94">
        <v>448.0</v>
      </c>
      <c r="R55" s="94">
        <v>2962.0</v>
      </c>
      <c r="S55" s="95" t="s">
        <v>423</v>
      </c>
      <c r="T55" s="94">
        <v>1.0</v>
      </c>
      <c r="U55" s="96">
        <v>37865.0</v>
      </c>
      <c r="V55" s="97" t="s">
        <v>424</v>
      </c>
      <c r="W55" s="97" t="s">
        <v>425</v>
      </c>
      <c r="X55" s="79" t="s">
        <v>426</v>
      </c>
      <c r="Y55" s="105"/>
      <c r="Z55" s="105"/>
      <c r="AA55" s="105"/>
      <c r="AB55" s="105"/>
      <c r="AC55" s="105"/>
      <c r="AD55" s="105"/>
      <c r="AE55" s="105"/>
      <c r="AF55" s="105"/>
      <c r="AG55" s="105"/>
      <c r="AH55" s="105"/>
      <c r="AI55" s="105"/>
      <c r="AJ55" s="105"/>
      <c r="AK55" s="105"/>
      <c r="AL55" s="105"/>
      <c r="AM55" s="105"/>
      <c r="AN55" s="105"/>
      <c r="AO55" s="105"/>
      <c r="AP55" s="105"/>
      <c r="AQ55" s="105"/>
      <c r="AR55" s="105"/>
    </row>
    <row r="56" ht="19.5" customHeight="1">
      <c r="A56" s="79">
        <v>45.0</v>
      </c>
      <c r="B56" s="80" t="s">
        <v>23</v>
      </c>
      <c r="C56" s="80" t="s">
        <v>427</v>
      </c>
      <c r="D56" s="80" t="s">
        <v>428</v>
      </c>
      <c r="E56" s="81" t="s">
        <v>429</v>
      </c>
      <c r="F56" s="80" t="s">
        <v>91</v>
      </c>
      <c r="G56" s="80" t="s">
        <v>44</v>
      </c>
      <c r="H56" s="80" t="s">
        <v>21</v>
      </c>
      <c r="I56" s="80" t="s">
        <v>430</v>
      </c>
      <c r="J56" s="80" t="s">
        <v>47</v>
      </c>
      <c r="K56" s="80" t="s">
        <v>431</v>
      </c>
      <c r="L56" s="82" t="s">
        <v>432</v>
      </c>
      <c r="M56" s="83">
        <f t="shared" si="1"/>
        <v>200</v>
      </c>
      <c r="N56" s="84">
        <v>200.0</v>
      </c>
      <c r="O56" s="84"/>
      <c r="P56" s="84"/>
      <c r="Q56" s="94">
        <v>895.0</v>
      </c>
      <c r="R56" s="94">
        <v>1395.0</v>
      </c>
      <c r="S56" s="95" t="s">
        <v>103</v>
      </c>
      <c r="T56" s="94">
        <v>1.0</v>
      </c>
      <c r="U56" s="96">
        <v>32408.0</v>
      </c>
      <c r="V56" s="97" t="s">
        <v>433</v>
      </c>
      <c r="W56" s="97" t="s">
        <v>434</v>
      </c>
      <c r="X56" s="79" t="s">
        <v>435</v>
      </c>
      <c r="Y56" s="98"/>
      <c r="Z56" s="98"/>
      <c r="AA56" s="98"/>
      <c r="AB56" s="98"/>
      <c r="AC56" s="98"/>
      <c r="AD56" s="98"/>
      <c r="AE56" s="98"/>
      <c r="AF56" s="98"/>
      <c r="AG56" s="98"/>
      <c r="AH56" s="98"/>
      <c r="AI56" s="98"/>
      <c r="AJ56" s="98"/>
      <c r="AK56" s="98"/>
      <c r="AL56" s="98"/>
      <c r="AM56" s="98"/>
      <c r="AN56" s="98"/>
      <c r="AO56" s="98"/>
      <c r="AP56" s="98"/>
      <c r="AQ56" s="98"/>
      <c r="AR56" s="98"/>
    </row>
    <row r="57" ht="19.5" customHeight="1">
      <c r="A57" s="79">
        <v>46.0</v>
      </c>
      <c r="B57" s="80" t="s">
        <v>23</v>
      </c>
      <c r="C57" s="80" t="s">
        <v>427</v>
      </c>
      <c r="D57" s="80" t="s">
        <v>436</v>
      </c>
      <c r="E57" s="81" t="s">
        <v>437</v>
      </c>
      <c r="F57" s="80" t="s">
        <v>81</v>
      </c>
      <c r="G57" s="80" t="s">
        <v>42</v>
      </c>
      <c r="H57" s="80" t="s">
        <v>21</v>
      </c>
      <c r="I57" s="80" t="s">
        <v>82</v>
      </c>
      <c r="J57" s="80" t="s">
        <v>45</v>
      </c>
      <c r="K57" s="80" t="s">
        <v>438</v>
      </c>
      <c r="L57" s="82" t="s">
        <v>439</v>
      </c>
      <c r="M57" s="83">
        <f t="shared" si="1"/>
        <v>760</v>
      </c>
      <c r="N57" s="84">
        <v>760.0</v>
      </c>
      <c r="O57" s="84">
        <v>0.0</v>
      </c>
      <c r="P57" s="84">
        <v>0.0</v>
      </c>
      <c r="Q57" s="94">
        <v>20676.0</v>
      </c>
      <c r="R57" s="94">
        <v>6855.9</v>
      </c>
      <c r="S57" s="95" t="s">
        <v>85</v>
      </c>
      <c r="T57" s="94">
        <v>1.0</v>
      </c>
      <c r="U57" s="96">
        <v>38110.0</v>
      </c>
      <c r="V57" s="97" t="s">
        <v>440</v>
      </c>
      <c r="W57" s="97" t="s">
        <v>441</v>
      </c>
      <c r="X57" s="79" t="s">
        <v>442</v>
      </c>
      <c r="Y57" s="98"/>
      <c r="Z57" s="98"/>
      <c r="AA57" s="98"/>
      <c r="AB57" s="98"/>
      <c r="AC57" s="98"/>
      <c r="AD57" s="98"/>
      <c r="AE57" s="98"/>
      <c r="AF57" s="98"/>
      <c r="AG57" s="98"/>
      <c r="AH57" s="98"/>
      <c r="AI57" s="98"/>
      <c r="AJ57" s="98"/>
      <c r="AK57" s="98"/>
      <c r="AL57" s="98"/>
      <c r="AM57" s="98"/>
      <c r="AN57" s="98"/>
      <c r="AO57" s="98"/>
      <c r="AP57" s="98"/>
      <c r="AQ57" s="98"/>
      <c r="AR57" s="98"/>
    </row>
    <row r="58" ht="19.5" customHeight="1">
      <c r="A58" s="79">
        <v>47.0</v>
      </c>
      <c r="B58" s="80" t="s">
        <v>23</v>
      </c>
      <c r="C58" s="80" t="s">
        <v>443</v>
      </c>
      <c r="D58" s="80" t="s">
        <v>444</v>
      </c>
      <c r="E58" s="81" t="s">
        <v>445</v>
      </c>
      <c r="F58" s="80" t="s">
        <v>81</v>
      </c>
      <c r="G58" s="80" t="s">
        <v>42</v>
      </c>
      <c r="H58" s="80" t="s">
        <v>21</v>
      </c>
      <c r="I58" s="80" t="s">
        <v>82</v>
      </c>
      <c r="J58" s="80" t="s">
        <v>45</v>
      </c>
      <c r="K58" s="95" t="s">
        <v>446</v>
      </c>
      <c r="L58" s="82" t="s">
        <v>447</v>
      </c>
      <c r="M58" s="83">
        <f t="shared" si="1"/>
        <v>802</v>
      </c>
      <c r="N58" s="84">
        <v>802.0</v>
      </c>
      <c r="O58" s="84"/>
      <c r="P58" s="84"/>
      <c r="Q58" s="94">
        <v>2670.0</v>
      </c>
      <c r="R58" s="94">
        <v>5726.0</v>
      </c>
      <c r="S58" s="95" t="s">
        <v>121</v>
      </c>
      <c r="T58" s="94">
        <v>1.0</v>
      </c>
      <c r="U58" s="96">
        <v>37500.0</v>
      </c>
      <c r="V58" s="97" t="s">
        <v>448</v>
      </c>
      <c r="W58" s="97" t="s">
        <v>449</v>
      </c>
      <c r="X58" s="79" t="s">
        <v>450</v>
      </c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</row>
    <row r="59" ht="19.5" customHeight="1">
      <c r="A59" s="79">
        <v>48.0</v>
      </c>
      <c r="B59" s="80" t="s">
        <v>23</v>
      </c>
      <c r="C59" s="80" t="s">
        <v>443</v>
      </c>
      <c r="D59" s="80" t="s">
        <v>451</v>
      </c>
      <c r="E59" s="81" t="s">
        <v>452</v>
      </c>
      <c r="F59" s="91" t="s">
        <v>91</v>
      </c>
      <c r="G59" s="80" t="s">
        <v>44</v>
      </c>
      <c r="H59" s="80" t="s">
        <v>21</v>
      </c>
      <c r="I59" s="91" t="s">
        <v>453</v>
      </c>
      <c r="J59" s="80" t="s">
        <v>45</v>
      </c>
      <c r="K59" s="91" t="s">
        <v>454</v>
      </c>
      <c r="L59" s="82" t="s">
        <v>455</v>
      </c>
      <c r="M59" s="83">
        <f t="shared" si="1"/>
        <v>203</v>
      </c>
      <c r="N59" s="84">
        <v>203.0</v>
      </c>
      <c r="O59" s="84">
        <v>0.0</v>
      </c>
      <c r="P59" s="84">
        <v>0.0</v>
      </c>
      <c r="Q59" s="94">
        <v>1527.0</v>
      </c>
      <c r="R59" s="94">
        <v>1353.84</v>
      </c>
      <c r="S59" s="95" t="s">
        <v>314</v>
      </c>
      <c r="T59" s="94">
        <v>1.0</v>
      </c>
      <c r="U59" s="96">
        <v>43159.0</v>
      </c>
      <c r="V59" s="97" t="s">
        <v>456</v>
      </c>
      <c r="W59" s="97" t="s">
        <v>457</v>
      </c>
      <c r="X59" s="79" t="s">
        <v>458</v>
      </c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</row>
    <row r="60" ht="19.5" customHeight="1">
      <c r="A60" s="79">
        <v>49.0</v>
      </c>
      <c r="B60" s="79" t="s">
        <v>23</v>
      </c>
      <c r="C60" s="79" t="s">
        <v>443</v>
      </c>
      <c r="D60" s="79" t="s">
        <v>459</v>
      </c>
      <c r="E60" s="102" t="s">
        <v>460</v>
      </c>
      <c r="F60" s="79" t="s">
        <v>91</v>
      </c>
      <c r="G60" s="80" t="s">
        <v>44</v>
      </c>
      <c r="H60" s="80" t="s">
        <v>21</v>
      </c>
      <c r="I60" s="79" t="s">
        <v>453</v>
      </c>
      <c r="J60" s="80" t="s">
        <v>45</v>
      </c>
      <c r="K60" s="79" t="s">
        <v>207</v>
      </c>
      <c r="L60" s="93" t="s">
        <v>461</v>
      </c>
      <c r="M60" s="83">
        <f t="shared" si="1"/>
        <v>265</v>
      </c>
      <c r="N60" s="84">
        <v>265.0</v>
      </c>
      <c r="O60" s="84">
        <v>0.0</v>
      </c>
      <c r="P60" s="84">
        <v>0.0</v>
      </c>
      <c r="Q60" s="94">
        <v>1046.0</v>
      </c>
      <c r="R60" s="94">
        <v>1463.0</v>
      </c>
      <c r="S60" s="95" t="s">
        <v>380</v>
      </c>
      <c r="T60" s="94">
        <v>1.0</v>
      </c>
      <c r="U60" s="96">
        <v>44467.0</v>
      </c>
      <c r="V60" s="97" t="s">
        <v>462</v>
      </c>
      <c r="W60" s="97" t="s">
        <v>463</v>
      </c>
      <c r="X60" s="79" t="s">
        <v>464</v>
      </c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</row>
    <row r="61" ht="19.5" customHeight="1">
      <c r="A61" s="79">
        <v>50.0</v>
      </c>
      <c r="B61" s="80" t="s">
        <v>23</v>
      </c>
      <c r="C61" s="80" t="s">
        <v>465</v>
      </c>
      <c r="D61" s="80" t="s">
        <v>466</v>
      </c>
      <c r="E61" s="81" t="s">
        <v>467</v>
      </c>
      <c r="F61" s="91" t="s">
        <v>91</v>
      </c>
      <c r="G61" s="80" t="s">
        <v>42</v>
      </c>
      <c r="H61" s="80" t="s">
        <v>21</v>
      </c>
      <c r="I61" s="91" t="s">
        <v>468</v>
      </c>
      <c r="J61" s="80" t="s">
        <v>45</v>
      </c>
      <c r="K61" s="91" t="s">
        <v>469</v>
      </c>
      <c r="L61" s="82" t="s">
        <v>470</v>
      </c>
      <c r="M61" s="83">
        <f t="shared" si="1"/>
        <v>352</v>
      </c>
      <c r="N61" s="84">
        <v>352.0</v>
      </c>
      <c r="O61" s="84"/>
      <c r="P61" s="84"/>
      <c r="Q61" s="94">
        <v>602.0</v>
      </c>
      <c r="R61" s="94">
        <v>2148.0</v>
      </c>
      <c r="S61" s="95" t="s">
        <v>373</v>
      </c>
      <c r="T61" s="94">
        <v>1.0</v>
      </c>
      <c r="U61" s="96">
        <v>35748.0</v>
      </c>
      <c r="V61" s="97" t="s">
        <v>471</v>
      </c>
      <c r="W61" s="97" t="s">
        <v>472</v>
      </c>
      <c r="X61" s="79" t="s">
        <v>473</v>
      </c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</row>
    <row r="62" ht="19.5" customHeight="1">
      <c r="A62" s="79">
        <v>51.0</v>
      </c>
      <c r="B62" s="95" t="s">
        <v>23</v>
      </c>
      <c r="C62" s="95" t="s">
        <v>465</v>
      </c>
      <c r="D62" s="95" t="s">
        <v>474</v>
      </c>
      <c r="E62" s="100" t="s">
        <v>475</v>
      </c>
      <c r="F62" s="95" t="s">
        <v>91</v>
      </c>
      <c r="G62" s="80" t="s">
        <v>42</v>
      </c>
      <c r="H62" s="80" t="s">
        <v>21</v>
      </c>
      <c r="I62" s="95" t="s">
        <v>468</v>
      </c>
      <c r="J62" s="80" t="s">
        <v>45</v>
      </c>
      <c r="K62" s="95" t="s">
        <v>119</v>
      </c>
      <c r="L62" s="82" t="s">
        <v>476</v>
      </c>
      <c r="M62" s="83">
        <f t="shared" si="1"/>
        <v>706</v>
      </c>
      <c r="N62" s="84">
        <v>706.0</v>
      </c>
      <c r="O62" s="84"/>
      <c r="P62" s="84"/>
      <c r="Q62" s="94">
        <v>10206.5</v>
      </c>
      <c r="R62" s="94">
        <v>7422.9</v>
      </c>
      <c r="S62" s="95" t="s">
        <v>85</v>
      </c>
      <c r="T62" s="94">
        <v>1.0</v>
      </c>
      <c r="U62" s="96">
        <v>36876.0</v>
      </c>
      <c r="V62" s="97" t="s">
        <v>477</v>
      </c>
      <c r="W62" s="97" t="s">
        <v>478</v>
      </c>
      <c r="X62" s="79" t="s">
        <v>479</v>
      </c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</row>
    <row r="63" ht="19.5" customHeight="1">
      <c r="A63" s="79">
        <v>52.0</v>
      </c>
      <c r="B63" s="80" t="s">
        <v>23</v>
      </c>
      <c r="C63" s="80" t="s">
        <v>465</v>
      </c>
      <c r="D63" s="80" t="s">
        <v>480</v>
      </c>
      <c r="E63" s="81" t="s">
        <v>481</v>
      </c>
      <c r="F63" s="95" t="s">
        <v>311</v>
      </c>
      <c r="G63" s="80" t="s">
        <v>12</v>
      </c>
      <c r="H63" s="80" t="s">
        <v>21</v>
      </c>
      <c r="I63" s="80" t="s">
        <v>482</v>
      </c>
      <c r="J63" s="80" t="s">
        <v>43</v>
      </c>
      <c r="K63" s="80" t="s">
        <v>482</v>
      </c>
      <c r="L63" s="82" t="s">
        <v>483</v>
      </c>
      <c r="M63" s="83">
        <f t="shared" si="1"/>
        <v>804</v>
      </c>
      <c r="N63" s="84"/>
      <c r="O63" s="84">
        <v>804.0</v>
      </c>
      <c r="P63" s="84"/>
      <c r="Q63" s="94">
        <v>11570.0</v>
      </c>
      <c r="R63" s="94">
        <v>25055.0</v>
      </c>
      <c r="S63" s="95" t="s">
        <v>484</v>
      </c>
      <c r="T63" s="94">
        <v>1.0</v>
      </c>
      <c r="U63" s="96">
        <v>33121.0</v>
      </c>
      <c r="V63" s="97" t="s">
        <v>485</v>
      </c>
      <c r="W63" s="97" t="s">
        <v>486</v>
      </c>
      <c r="X63" s="79" t="s">
        <v>487</v>
      </c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</row>
    <row r="64" ht="19.5" customHeight="1">
      <c r="A64" s="79">
        <v>53.0</v>
      </c>
      <c r="B64" s="80" t="s">
        <v>23</v>
      </c>
      <c r="C64" s="80" t="s">
        <v>465</v>
      </c>
      <c r="D64" s="80" t="s">
        <v>488</v>
      </c>
      <c r="E64" s="81" t="s">
        <v>489</v>
      </c>
      <c r="F64" s="80" t="s">
        <v>91</v>
      </c>
      <c r="G64" s="80" t="s">
        <v>44</v>
      </c>
      <c r="H64" s="80" t="s">
        <v>21</v>
      </c>
      <c r="I64" s="80" t="s">
        <v>468</v>
      </c>
      <c r="J64" s="80" t="s">
        <v>45</v>
      </c>
      <c r="K64" s="80" t="s">
        <v>127</v>
      </c>
      <c r="L64" s="82" t="s">
        <v>490</v>
      </c>
      <c r="M64" s="83">
        <f t="shared" si="1"/>
        <v>273</v>
      </c>
      <c r="N64" s="84">
        <v>273.0</v>
      </c>
      <c r="O64" s="84"/>
      <c r="P64" s="84"/>
      <c r="Q64" s="94">
        <v>476.0</v>
      </c>
      <c r="R64" s="94">
        <v>2455.0</v>
      </c>
      <c r="S64" s="95" t="s">
        <v>491</v>
      </c>
      <c r="T64" s="94">
        <v>1.0</v>
      </c>
      <c r="U64" s="96">
        <v>43560.0</v>
      </c>
      <c r="V64" s="97" t="s">
        <v>492</v>
      </c>
      <c r="W64" s="97" t="s">
        <v>493</v>
      </c>
      <c r="X64" s="79" t="s">
        <v>494</v>
      </c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</row>
    <row r="65" ht="19.5" customHeight="1">
      <c r="A65" s="79">
        <v>54.0</v>
      </c>
      <c r="B65" s="80" t="s">
        <v>23</v>
      </c>
      <c r="C65" s="79" t="s">
        <v>465</v>
      </c>
      <c r="D65" s="79" t="s">
        <v>495</v>
      </c>
      <c r="E65" s="102" t="s">
        <v>496</v>
      </c>
      <c r="F65" s="79" t="s">
        <v>91</v>
      </c>
      <c r="G65" s="80" t="s">
        <v>49</v>
      </c>
      <c r="H65" s="80" t="s">
        <v>21</v>
      </c>
      <c r="I65" s="79" t="s">
        <v>468</v>
      </c>
      <c r="J65" s="80" t="s">
        <v>45</v>
      </c>
      <c r="K65" s="79" t="s">
        <v>497</v>
      </c>
      <c r="L65" s="93" t="s">
        <v>498</v>
      </c>
      <c r="M65" s="83">
        <f t="shared" si="1"/>
        <v>310</v>
      </c>
      <c r="N65" s="84">
        <v>310.0</v>
      </c>
      <c r="O65" s="84"/>
      <c r="P65" s="84"/>
      <c r="Q65" s="94">
        <v>710.0</v>
      </c>
      <c r="R65" s="94">
        <v>1620.0</v>
      </c>
      <c r="S65" s="95" t="s">
        <v>103</v>
      </c>
      <c r="T65" s="94">
        <v>1.0</v>
      </c>
      <c r="U65" s="96">
        <v>43983.0</v>
      </c>
      <c r="V65" s="97" t="s">
        <v>499</v>
      </c>
      <c r="W65" s="97" t="s">
        <v>500</v>
      </c>
      <c r="X65" s="79" t="s">
        <v>501</v>
      </c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</row>
    <row r="66" ht="19.5" customHeight="1">
      <c r="A66" s="79">
        <v>55.0</v>
      </c>
      <c r="B66" s="80" t="s">
        <v>23</v>
      </c>
      <c r="C66" s="80" t="s">
        <v>502</v>
      </c>
      <c r="D66" s="80" t="s">
        <v>503</v>
      </c>
      <c r="E66" s="81" t="s">
        <v>504</v>
      </c>
      <c r="F66" s="80" t="s">
        <v>81</v>
      </c>
      <c r="G66" s="80" t="s">
        <v>49</v>
      </c>
      <c r="H66" s="80" t="s">
        <v>21</v>
      </c>
      <c r="I66" s="80" t="s">
        <v>82</v>
      </c>
      <c r="J66" s="80" t="s">
        <v>45</v>
      </c>
      <c r="K66" s="80" t="s">
        <v>505</v>
      </c>
      <c r="L66" s="82" t="s">
        <v>506</v>
      </c>
      <c r="M66" s="83">
        <f t="shared" si="1"/>
        <v>800</v>
      </c>
      <c r="N66" s="84">
        <v>800.0</v>
      </c>
      <c r="O66" s="84"/>
      <c r="P66" s="84"/>
      <c r="Q66" s="94">
        <v>14403.0</v>
      </c>
      <c r="R66" s="94">
        <v>4825.0</v>
      </c>
      <c r="S66" s="95" t="s">
        <v>507</v>
      </c>
      <c r="T66" s="94">
        <v>2.0</v>
      </c>
      <c r="U66" s="96">
        <v>41261.0</v>
      </c>
      <c r="V66" s="97" t="s">
        <v>508</v>
      </c>
      <c r="W66" s="97" t="s">
        <v>509</v>
      </c>
      <c r="X66" s="79" t="s">
        <v>510</v>
      </c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  <c r="AN66" s="104"/>
      <c r="AO66" s="104"/>
      <c r="AP66" s="104"/>
      <c r="AQ66" s="104"/>
      <c r="AR66" s="104"/>
    </row>
    <row r="67" ht="19.5" customHeight="1">
      <c r="A67" s="79">
        <v>56.0</v>
      </c>
      <c r="B67" s="80" t="s">
        <v>23</v>
      </c>
      <c r="C67" s="80" t="s">
        <v>502</v>
      </c>
      <c r="D67" s="80" t="s">
        <v>511</v>
      </c>
      <c r="E67" s="81" t="s">
        <v>512</v>
      </c>
      <c r="F67" s="80" t="s">
        <v>81</v>
      </c>
      <c r="G67" s="80" t="s">
        <v>42</v>
      </c>
      <c r="H67" s="80" t="s">
        <v>21</v>
      </c>
      <c r="I67" s="80" t="s">
        <v>82</v>
      </c>
      <c r="J67" s="80" t="s">
        <v>45</v>
      </c>
      <c r="K67" s="80" t="s">
        <v>207</v>
      </c>
      <c r="L67" s="82" t="s">
        <v>513</v>
      </c>
      <c r="M67" s="83">
        <f t="shared" si="1"/>
        <v>810</v>
      </c>
      <c r="N67" s="84">
        <v>810.0</v>
      </c>
      <c r="O67" s="84"/>
      <c r="P67" s="84"/>
      <c r="Q67" s="94">
        <v>5744.0</v>
      </c>
      <c r="R67" s="94">
        <v>6203.0</v>
      </c>
      <c r="S67" s="95" t="s">
        <v>194</v>
      </c>
      <c r="T67" s="94">
        <v>1.0</v>
      </c>
      <c r="U67" s="96">
        <v>32492.0</v>
      </c>
      <c r="V67" s="97" t="s">
        <v>514</v>
      </c>
      <c r="W67" s="97" t="s">
        <v>515</v>
      </c>
      <c r="X67" s="79" t="s">
        <v>516</v>
      </c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  <c r="AN67" s="104"/>
      <c r="AO67" s="104"/>
      <c r="AP67" s="104"/>
      <c r="AQ67" s="104"/>
      <c r="AR67" s="104"/>
    </row>
    <row r="68" ht="19.5" customHeight="1">
      <c r="A68" s="79">
        <v>57.0</v>
      </c>
      <c r="B68" s="80" t="s">
        <v>23</v>
      </c>
      <c r="C68" s="80" t="s">
        <v>502</v>
      </c>
      <c r="D68" s="80" t="s">
        <v>517</v>
      </c>
      <c r="E68" s="81" t="s">
        <v>518</v>
      </c>
      <c r="F68" s="80" t="s">
        <v>91</v>
      </c>
      <c r="G68" s="80" t="s">
        <v>44</v>
      </c>
      <c r="H68" s="80" t="s">
        <v>21</v>
      </c>
      <c r="I68" s="80" t="s">
        <v>519</v>
      </c>
      <c r="J68" s="80" t="s">
        <v>45</v>
      </c>
      <c r="K68" s="80" t="s">
        <v>520</v>
      </c>
      <c r="L68" s="82" t="s">
        <v>521</v>
      </c>
      <c r="M68" s="83">
        <f t="shared" si="1"/>
        <v>440</v>
      </c>
      <c r="N68" s="84">
        <v>440.0</v>
      </c>
      <c r="O68" s="84"/>
      <c r="P68" s="84"/>
      <c r="Q68" s="94">
        <v>1580.0</v>
      </c>
      <c r="R68" s="94">
        <v>1949.0</v>
      </c>
      <c r="S68" s="95" t="s">
        <v>103</v>
      </c>
      <c r="T68" s="94">
        <v>1.0</v>
      </c>
      <c r="U68" s="96">
        <v>37432.0</v>
      </c>
      <c r="V68" s="97" t="s">
        <v>522</v>
      </c>
      <c r="W68" s="97" t="s">
        <v>523</v>
      </c>
      <c r="X68" s="79" t="s">
        <v>524</v>
      </c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</row>
    <row r="69" ht="19.5" customHeight="1">
      <c r="A69" s="79">
        <v>58.0</v>
      </c>
      <c r="B69" s="91" t="s">
        <v>23</v>
      </c>
      <c r="C69" s="91" t="s">
        <v>502</v>
      </c>
      <c r="D69" s="91" t="s">
        <v>525</v>
      </c>
      <c r="E69" s="92" t="s">
        <v>526</v>
      </c>
      <c r="F69" s="91" t="s">
        <v>81</v>
      </c>
      <c r="G69" s="80" t="s">
        <v>49</v>
      </c>
      <c r="H69" s="80" t="s">
        <v>21</v>
      </c>
      <c r="I69" s="91" t="s">
        <v>82</v>
      </c>
      <c r="J69" s="80" t="s">
        <v>45</v>
      </c>
      <c r="K69" s="79" t="s">
        <v>527</v>
      </c>
      <c r="L69" s="93" t="s">
        <v>528</v>
      </c>
      <c r="M69" s="83">
        <f t="shared" si="1"/>
        <v>774</v>
      </c>
      <c r="N69" s="84">
        <v>774.0</v>
      </c>
      <c r="O69" s="84">
        <v>0.0</v>
      </c>
      <c r="P69" s="84">
        <v>0.0</v>
      </c>
      <c r="Q69" s="94">
        <v>1935.8</v>
      </c>
      <c r="R69" s="94">
        <v>5422.07</v>
      </c>
      <c r="S69" s="95" t="s">
        <v>529</v>
      </c>
      <c r="T69" s="94">
        <v>1.0</v>
      </c>
      <c r="U69" s="96">
        <v>45050.0</v>
      </c>
      <c r="V69" s="97" t="s">
        <v>530</v>
      </c>
      <c r="W69" s="97" t="s">
        <v>531</v>
      </c>
      <c r="X69" s="79" t="s">
        <v>532</v>
      </c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  <c r="AO69" s="99"/>
      <c r="AP69" s="99"/>
      <c r="AQ69" s="99"/>
      <c r="AR69" s="99"/>
    </row>
    <row r="70" ht="19.5" customHeight="1">
      <c r="A70" s="79">
        <v>59.0</v>
      </c>
      <c r="B70" s="80" t="s">
        <v>23</v>
      </c>
      <c r="C70" s="80" t="s">
        <v>533</v>
      </c>
      <c r="D70" s="80" t="s">
        <v>534</v>
      </c>
      <c r="E70" s="81" t="s">
        <v>535</v>
      </c>
      <c r="F70" s="80" t="s">
        <v>81</v>
      </c>
      <c r="G70" s="80" t="s">
        <v>42</v>
      </c>
      <c r="H70" s="80" t="s">
        <v>21</v>
      </c>
      <c r="I70" s="80" t="s">
        <v>82</v>
      </c>
      <c r="J70" s="80" t="s">
        <v>45</v>
      </c>
      <c r="K70" s="80" t="s">
        <v>536</v>
      </c>
      <c r="L70" s="82" t="s">
        <v>537</v>
      </c>
      <c r="M70" s="83">
        <f t="shared" si="1"/>
        <v>800</v>
      </c>
      <c r="N70" s="84">
        <v>800.0</v>
      </c>
      <c r="O70" s="84"/>
      <c r="P70" s="84"/>
      <c r="Q70" s="94">
        <v>2314.0</v>
      </c>
      <c r="R70" s="94">
        <v>5611.0</v>
      </c>
      <c r="S70" s="95" t="s">
        <v>538</v>
      </c>
      <c r="T70" s="94">
        <v>1.0</v>
      </c>
      <c r="U70" s="96">
        <v>31881.0</v>
      </c>
      <c r="V70" s="97" t="s">
        <v>539</v>
      </c>
      <c r="W70" s="97" t="s">
        <v>540</v>
      </c>
      <c r="X70" s="79" t="s">
        <v>541</v>
      </c>
      <c r="Y70" s="98"/>
      <c r="Z70" s="98"/>
      <c r="AA70" s="98"/>
      <c r="AB70" s="98"/>
      <c r="AC70" s="98"/>
      <c r="AD70" s="98"/>
      <c r="AE70" s="98"/>
      <c r="AF70" s="98"/>
      <c r="AG70" s="98"/>
      <c r="AH70" s="98"/>
      <c r="AI70" s="98"/>
      <c r="AJ70" s="98"/>
      <c r="AK70" s="98"/>
      <c r="AL70" s="98"/>
      <c r="AM70" s="98"/>
      <c r="AN70" s="98"/>
      <c r="AO70" s="98"/>
      <c r="AP70" s="98"/>
      <c r="AQ70" s="98"/>
      <c r="AR70" s="98"/>
    </row>
    <row r="71" ht="19.5" customHeight="1">
      <c r="A71" s="79">
        <v>60.0</v>
      </c>
      <c r="B71" s="80" t="s">
        <v>23</v>
      </c>
      <c r="C71" s="80" t="s">
        <v>533</v>
      </c>
      <c r="D71" s="80" t="s">
        <v>542</v>
      </c>
      <c r="E71" s="81" t="s">
        <v>543</v>
      </c>
      <c r="F71" s="80" t="s">
        <v>91</v>
      </c>
      <c r="G71" s="80" t="s">
        <v>44</v>
      </c>
      <c r="H71" s="80" t="s">
        <v>21</v>
      </c>
      <c r="I71" s="80" t="s">
        <v>544</v>
      </c>
      <c r="J71" s="80" t="s">
        <v>45</v>
      </c>
      <c r="K71" s="80" t="s">
        <v>545</v>
      </c>
      <c r="L71" s="82" t="s">
        <v>546</v>
      </c>
      <c r="M71" s="83">
        <f t="shared" si="1"/>
        <v>200</v>
      </c>
      <c r="N71" s="84">
        <v>200.0</v>
      </c>
      <c r="O71" s="84"/>
      <c r="P71" s="84"/>
      <c r="Q71" s="94">
        <v>1597.0</v>
      </c>
      <c r="R71" s="94">
        <v>1288.61</v>
      </c>
      <c r="S71" s="95" t="s">
        <v>547</v>
      </c>
      <c r="T71" s="94">
        <v>2.0</v>
      </c>
      <c r="U71" s="96">
        <v>37712.0</v>
      </c>
      <c r="V71" s="97" t="s">
        <v>548</v>
      </c>
      <c r="W71" s="97" t="s">
        <v>549</v>
      </c>
      <c r="X71" s="79" t="s">
        <v>550</v>
      </c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  <c r="AK71" s="104"/>
      <c r="AL71" s="104"/>
      <c r="AM71" s="104"/>
      <c r="AN71" s="104"/>
      <c r="AO71" s="104"/>
      <c r="AP71" s="104"/>
      <c r="AQ71" s="104"/>
      <c r="AR71" s="104"/>
    </row>
    <row r="72" ht="19.5" customHeight="1">
      <c r="A72" s="79">
        <v>61.0</v>
      </c>
      <c r="B72" s="80" t="s">
        <v>23</v>
      </c>
      <c r="C72" s="80" t="s">
        <v>533</v>
      </c>
      <c r="D72" s="80" t="s">
        <v>551</v>
      </c>
      <c r="E72" s="81" t="s">
        <v>552</v>
      </c>
      <c r="F72" s="80" t="s">
        <v>81</v>
      </c>
      <c r="G72" s="80" t="s">
        <v>49</v>
      </c>
      <c r="H72" s="80" t="s">
        <v>21</v>
      </c>
      <c r="I72" s="80" t="s">
        <v>82</v>
      </c>
      <c r="J72" s="80" t="s">
        <v>45</v>
      </c>
      <c r="K72" s="80" t="s">
        <v>553</v>
      </c>
      <c r="L72" s="82" t="s">
        <v>554</v>
      </c>
      <c r="M72" s="83">
        <f t="shared" si="1"/>
        <v>500</v>
      </c>
      <c r="N72" s="84">
        <v>500.0</v>
      </c>
      <c r="O72" s="84">
        <v>0.0</v>
      </c>
      <c r="P72" s="84">
        <v>0.0</v>
      </c>
      <c r="Q72" s="94">
        <v>9697.0</v>
      </c>
      <c r="R72" s="94">
        <v>5344.0</v>
      </c>
      <c r="S72" s="95" t="s">
        <v>555</v>
      </c>
      <c r="T72" s="94">
        <v>2.0</v>
      </c>
      <c r="U72" s="96">
        <v>36342.0</v>
      </c>
      <c r="V72" s="97" t="s">
        <v>556</v>
      </c>
      <c r="W72" s="97" t="s">
        <v>557</v>
      </c>
      <c r="X72" s="79" t="s">
        <v>558</v>
      </c>
      <c r="Y72" s="98"/>
      <c r="Z72" s="98"/>
      <c r="AA72" s="98"/>
      <c r="AB72" s="98"/>
      <c r="AC72" s="98"/>
      <c r="AD72" s="98"/>
      <c r="AE72" s="98"/>
      <c r="AF72" s="98"/>
      <c r="AG72" s="98"/>
      <c r="AH72" s="98"/>
      <c r="AI72" s="98"/>
      <c r="AJ72" s="98"/>
      <c r="AK72" s="98"/>
      <c r="AL72" s="98"/>
      <c r="AM72" s="98"/>
      <c r="AN72" s="98"/>
      <c r="AO72" s="98"/>
      <c r="AP72" s="98"/>
      <c r="AQ72" s="98"/>
      <c r="AR72" s="98"/>
    </row>
    <row r="73" ht="19.5" customHeight="1">
      <c r="A73" s="79">
        <v>62.0</v>
      </c>
      <c r="B73" s="80" t="s">
        <v>23</v>
      </c>
      <c r="C73" s="80" t="s">
        <v>533</v>
      </c>
      <c r="D73" s="80" t="s">
        <v>551</v>
      </c>
      <c r="E73" s="81" t="s">
        <v>559</v>
      </c>
      <c r="F73" s="80" t="s">
        <v>81</v>
      </c>
      <c r="G73" s="80" t="s">
        <v>49</v>
      </c>
      <c r="H73" s="80" t="s">
        <v>21</v>
      </c>
      <c r="I73" s="80" t="s">
        <v>82</v>
      </c>
      <c r="J73" s="80" t="s">
        <v>45</v>
      </c>
      <c r="K73" s="80" t="s">
        <v>560</v>
      </c>
      <c r="L73" s="82" t="s">
        <v>554</v>
      </c>
      <c r="M73" s="83">
        <f t="shared" si="1"/>
        <v>90</v>
      </c>
      <c r="N73" s="84">
        <v>90.0</v>
      </c>
      <c r="O73" s="84"/>
      <c r="P73" s="84"/>
      <c r="Q73" s="94">
        <v>905.79</v>
      </c>
      <c r="R73" s="94">
        <v>749.0</v>
      </c>
      <c r="S73" s="95" t="s">
        <v>103</v>
      </c>
      <c r="T73" s="94">
        <v>1.0</v>
      </c>
      <c r="U73" s="96">
        <v>36495.0</v>
      </c>
      <c r="V73" s="97" t="s">
        <v>561</v>
      </c>
      <c r="W73" s="97" t="s">
        <v>562</v>
      </c>
      <c r="X73" s="79" t="s">
        <v>563</v>
      </c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</row>
    <row r="74" ht="19.5" customHeight="1">
      <c r="A74" s="79">
        <v>63.0</v>
      </c>
      <c r="B74" s="80" t="s">
        <v>23</v>
      </c>
      <c r="C74" s="80" t="s">
        <v>533</v>
      </c>
      <c r="D74" s="80" t="s">
        <v>551</v>
      </c>
      <c r="E74" s="81" t="s">
        <v>564</v>
      </c>
      <c r="F74" s="80" t="s">
        <v>81</v>
      </c>
      <c r="G74" s="80" t="s">
        <v>12</v>
      </c>
      <c r="H74" s="80" t="s">
        <v>21</v>
      </c>
      <c r="I74" s="80" t="s">
        <v>82</v>
      </c>
      <c r="J74" s="80" t="s">
        <v>45</v>
      </c>
      <c r="K74" s="80" t="s">
        <v>119</v>
      </c>
      <c r="L74" s="82" t="s">
        <v>554</v>
      </c>
      <c r="M74" s="83">
        <f t="shared" si="1"/>
        <v>330</v>
      </c>
      <c r="N74" s="84"/>
      <c r="O74" s="84">
        <v>330.0</v>
      </c>
      <c r="P74" s="84"/>
      <c r="Q74" s="94">
        <v>1597.0</v>
      </c>
      <c r="R74" s="94">
        <v>9807.0</v>
      </c>
      <c r="S74" s="95" t="s">
        <v>565</v>
      </c>
      <c r="T74" s="94">
        <v>1.0</v>
      </c>
      <c r="U74" s="96">
        <v>40604.0</v>
      </c>
      <c r="V74" s="97" t="s">
        <v>566</v>
      </c>
      <c r="W74" s="97" t="s">
        <v>567</v>
      </c>
      <c r="X74" s="79" t="s">
        <v>568</v>
      </c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</row>
    <row r="75" ht="19.5" customHeight="1">
      <c r="A75" s="79">
        <v>64.0</v>
      </c>
      <c r="B75" s="80" t="s">
        <v>23</v>
      </c>
      <c r="C75" s="80" t="s">
        <v>569</v>
      </c>
      <c r="D75" s="80" t="s">
        <v>570</v>
      </c>
      <c r="E75" s="81" t="s">
        <v>571</v>
      </c>
      <c r="F75" s="80" t="s">
        <v>81</v>
      </c>
      <c r="G75" s="80" t="s">
        <v>49</v>
      </c>
      <c r="H75" s="80" t="s">
        <v>21</v>
      </c>
      <c r="I75" s="80" t="s">
        <v>82</v>
      </c>
      <c r="J75" s="80" t="s">
        <v>45</v>
      </c>
      <c r="K75" s="80" t="s">
        <v>225</v>
      </c>
      <c r="L75" s="82" t="s">
        <v>572</v>
      </c>
      <c r="M75" s="83">
        <f t="shared" si="1"/>
        <v>320</v>
      </c>
      <c r="N75" s="84">
        <v>320.0</v>
      </c>
      <c r="O75" s="84">
        <v>0.0</v>
      </c>
      <c r="P75" s="84">
        <v>0.0</v>
      </c>
      <c r="Q75" s="94">
        <v>530.0</v>
      </c>
      <c r="R75" s="94">
        <v>1396.0</v>
      </c>
      <c r="S75" s="95" t="s">
        <v>573</v>
      </c>
      <c r="T75" s="94">
        <v>1.0</v>
      </c>
      <c r="U75" s="96">
        <v>36580.0</v>
      </c>
      <c r="V75" s="97" t="s">
        <v>574</v>
      </c>
      <c r="W75" s="97" t="s">
        <v>575</v>
      </c>
      <c r="X75" s="79" t="s">
        <v>576</v>
      </c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</row>
    <row r="76" ht="19.5" customHeight="1">
      <c r="A76" s="79">
        <v>65.0</v>
      </c>
      <c r="B76" s="80" t="s">
        <v>23</v>
      </c>
      <c r="C76" s="80" t="s">
        <v>569</v>
      </c>
      <c r="D76" s="80" t="s">
        <v>577</v>
      </c>
      <c r="E76" s="81" t="s">
        <v>578</v>
      </c>
      <c r="F76" s="80" t="s">
        <v>91</v>
      </c>
      <c r="G76" s="80" t="s">
        <v>42</v>
      </c>
      <c r="H76" s="80" t="s">
        <v>21</v>
      </c>
      <c r="I76" s="80" t="s">
        <v>579</v>
      </c>
      <c r="J76" s="80" t="s">
        <v>47</v>
      </c>
      <c r="K76" s="80" t="s">
        <v>580</v>
      </c>
      <c r="L76" s="82" t="s">
        <v>581</v>
      </c>
      <c r="M76" s="83">
        <f t="shared" si="1"/>
        <v>500</v>
      </c>
      <c r="N76" s="84">
        <v>500.0</v>
      </c>
      <c r="O76" s="84"/>
      <c r="P76" s="84"/>
      <c r="Q76" s="94">
        <v>1333.0</v>
      </c>
      <c r="R76" s="94">
        <v>6497.0</v>
      </c>
      <c r="S76" s="95" t="s">
        <v>582</v>
      </c>
      <c r="T76" s="94">
        <v>1.0</v>
      </c>
      <c r="U76" s="96" t="s">
        <v>583</v>
      </c>
      <c r="V76" s="97" t="s">
        <v>584</v>
      </c>
      <c r="W76" s="97" t="s">
        <v>585</v>
      </c>
      <c r="X76" s="79" t="s">
        <v>586</v>
      </c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  <c r="AQ76" s="98"/>
      <c r="AR76" s="98"/>
    </row>
    <row r="77" ht="19.5" customHeight="1">
      <c r="A77" s="79">
        <v>66.0</v>
      </c>
      <c r="B77" s="80" t="s">
        <v>23</v>
      </c>
      <c r="C77" s="80" t="s">
        <v>569</v>
      </c>
      <c r="D77" s="80" t="s">
        <v>587</v>
      </c>
      <c r="E77" s="81" t="s">
        <v>588</v>
      </c>
      <c r="F77" s="80" t="s">
        <v>91</v>
      </c>
      <c r="G77" s="80" t="s">
        <v>44</v>
      </c>
      <c r="H77" s="80" t="s">
        <v>21</v>
      </c>
      <c r="I77" s="80" t="s">
        <v>579</v>
      </c>
      <c r="J77" s="80" t="s">
        <v>47</v>
      </c>
      <c r="K77" s="80" t="s">
        <v>580</v>
      </c>
      <c r="L77" s="82" t="s">
        <v>589</v>
      </c>
      <c r="M77" s="83">
        <f t="shared" si="1"/>
        <v>270</v>
      </c>
      <c r="N77" s="84">
        <v>270.0</v>
      </c>
      <c r="O77" s="84"/>
      <c r="P77" s="84"/>
      <c r="Q77" s="94">
        <v>6757.0</v>
      </c>
      <c r="R77" s="94">
        <v>2466.0</v>
      </c>
      <c r="S77" s="95" t="s">
        <v>590</v>
      </c>
      <c r="T77" s="94">
        <v>1.0</v>
      </c>
      <c r="U77" s="96" t="s">
        <v>591</v>
      </c>
      <c r="V77" s="97" t="s">
        <v>592</v>
      </c>
      <c r="W77" s="97" t="s">
        <v>593</v>
      </c>
      <c r="X77" s="79" t="s">
        <v>594</v>
      </c>
      <c r="Y77" s="98"/>
      <c r="Z77" s="98"/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  <c r="AQ77" s="98"/>
      <c r="AR77" s="98"/>
    </row>
    <row r="78" ht="19.5" customHeight="1">
      <c r="A78" s="79">
        <v>67.0</v>
      </c>
      <c r="B78" s="80" t="s">
        <v>23</v>
      </c>
      <c r="C78" s="80" t="s">
        <v>569</v>
      </c>
      <c r="D78" s="80" t="s">
        <v>595</v>
      </c>
      <c r="E78" s="81" t="s">
        <v>596</v>
      </c>
      <c r="F78" s="80" t="s">
        <v>91</v>
      </c>
      <c r="G78" s="80" t="s">
        <v>44</v>
      </c>
      <c r="H78" s="80" t="s">
        <v>21</v>
      </c>
      <c r="I78" s="80" t="s">
        <v>579</v>
      </c>
      <c r="J78" s="80" t="s">
        <v>43</v>
      </c>
      <c r="K78" s="80" t="s">
        <v>597</v>
      </c>
      <c r="L78" s="82" t="s">
        <v>598</v>
      </c>
      <c r="M78" s="83">
        <f t="shared" si="1"/>
        <v>700</v>
      </c>
      <c r="N78" s="84">
        <v>700.0</v>
      </c>
      <c r="O78" s="84">
        <v>0.0</v>
      </c>
      <c r="P78" s="84">
        <v>0.0</v>
      </c>
      <c r="Q78" s="94">
        <v>1384.26</v>
      </c>
      <c r="R78" s="94">
        <v>5914.93</v>
      </c>
      <c r="S78" s="95" t="s">
        <v>599</v>
      </c>
      <c r="T78" s="94">
        <v>1.0</v>
      </c>
      <c r="U78" s="96">
        <v>45343.0</v>
      </c>
      <c r="V78" s="97" t="s">
        <v>600</v>
      </c>
      <c r="W78" s="97" t="s">
        <v>601</v>
      </c>
      <c r="X78" s="79" t="s">
        <v>602</v>
      </c>
      <c r="Y78" s="98"/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</row>
    <row r="79" ht="19.5" customHeight="1">
      <c r="A79" s="79">
        <v>68.0</v>
      </c>
      <c r="B79" s="95" t="s">
        <v>23</v>
      </c>
      <c r="C79" s="95" t="s">
        <v>603</v>
      </c>
      <c r="D79" s="95" t="s">
        <v>604</v>
      </c>
      <c r="E79" s="100" t="s">
        <v>605</v>
      </c>
      <c r="F79" s="95" t="s">
        <v>81</v>
      </c>
      <c r="G79" s="80" t="s">
        <v>42</v>
      </c>
      <c r="H79" s="80" t="s">
        <v>21</v>
      </c>
      <c r="I79" s="95" t="s">
        <v>82</v>
      </c>
      <c r="J79" s="80" t="s">
        <v>45</v>
      </c>
      <c r="K79" s="95" t="s">
        <v>606</v>
      </c>
      <c r="L79" s="82" t="s">
        <v>607</v>
      </c>
      <c r="M79" s="83">
        <f t="shared" si="1"/>
        <v>727</v>
      </c>
      <c r="N79" s="84">
        <v>727.0</v>
      </c>
      <c r="O79" s="84"/>
      <c r="P79" s="84"/>
      <c r="Q79" s="94">
        <v>13500.0</v>
      </c>
      <c r="R79" s="94">
        <v>4963.0</v>
      </c>
      <c r="S79" s="95" t="s">
        <v>380</v>
      </c>
      <c r="T79" s="94">
        <v>1.0</v>
      </c>
      <c r="U79" s="96">
        <v>37928.0</v>
      </c>
      <c r="V79" s="97" t="s">
        <v>608</v>
      </c>
      <c r="W79" s="97" t="s">
        <v>609</v>
      </c>
      <c r="X79" s="79" t="s">
        <v>610</v>
      </c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</row>
    <row r="80" ht="19.5" customHeight="1">
      <c r="A80" s="79">
        <v>69.0</v>
      </c>
      <c r="B80" s="95" t="s">
        <v>23</v>
      </c>
      <c r="C80" s="91" t="s">
        <v>603</v>
      </c>
      <c r="D80" s="95" t="s">
        <v>611</v>
      </c>
      <c r="E80" s="100" t="s">
        <v>612</v>
      </c>
      <c r="F80" s="95" t="s">
        <v>91</v>
      </c>
      <c r="G80" s="80" t="s">
        <v>44</v>
      </c>
      <c r="H80" s="80" t="s">
        <v>21</v>
      </c>
      <c r="I80" s="95" t="s">
        <v>613</v>
      </c>
      <c r="J80" s="80" t="s">
        <v>45</v>
      </c>
      <c r="K80" s="95" t="s">
        <v>614</v>
      </c>
      <c r="L80" s="82" t="s">
        <v>615</v>
      </c>
      <c r="M80" s="83">
        <f t="shared" si="1"/>
        <v>100</v>
      </c>
      <c r="N80" s="84">
        <v>100.0</v>
      </c>
      <c r="O80" s="84">
        <v>0.0</v>
      </c>
      <c r="P80" s="84">
        <v>0.0</v>
      </c>
      <c r="Q80" s="94">
        <v>361.0</v>
      </c>
      <c r="R80" s="94">
        <v>894.0</v>
      </c>
      <c r="S80" s="95" t="s">
        <v>320</v>
      </c>
      <c r="T80" s="94">
        <v>1.0</v>
      </c>
      <c r="U80" s="96">
        <v>41492.0</v>
      </c>
      <c r="V80" s="97" t="s">
        <v>616</v>
      </c>
      <c r="W80" s="97" t="s">
        <v>617</v>
      </c>
      <c r="X80" s="79" t="s">
        <v>618</v>
      </c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</row>
    <row r="81" ht="19.5" customHeight="1">
      <c r="A81" s="79">
        <v>70.0</v>
      </c>
      <c r="B81" s="95" t="s">
        <v>23</v>
      </c>
      <c r="C81" s="91" t="s">
        <v>603</v>
      </c>
      <c r="D81" s="95" t="s">
        <v>619</v>
      </c>
      <c r="E81" s="100" t="s">
        <v>620</v>
      </c>
      <c r="F81" s="95" t="s">
        <v>91</v>
      </c>
      <c r="G81" s="80" t="s">
        <v>44</v>
      </c>
      <c r="H81" s="80" t="s">
        <v>21</v>
      </c>
      <c r="I81" s="95" t="s">
        <v>613</v>
      </c>
      <c r="J81" s="80" t="s">
        <v>45</v>
      </c>
      <c r="K81" s="80" t="s">
        <v>621</v>
      </c>
      <c r="L81" s="82" t="s">
        <v>622</v>
      </c>
      <c r="M81" s="83">
        <f t="shared" si="1"/>
        <v>100</v>
      </c>
      <c r="N81" s="84">
        <v>100.0</v>
      </c>
      <c r="O81" s="84">
        <v>0.0</v>
      </c>
      <c r="P81" s="84">
        <v>0.0</v>
      </c>
      <c r="Q81" s="94">
        <v>642.0</v>
      </c>
      <c r="R81" s="94">
        <v>1184.0</v>
      </c>
      <c r="S81" s="95" t="s">
        <v>380</v>
      </c>
      <c r="T81" s="94">
        <v>1.0</v>
      </c>
      <c r="U81" s="96">
        <v>43636.0</v>
      </c>
      <c r="V81" s="97" t="s">
        <v>623</v>
      </c>
      <c r="W81" s="97" t="s">
        <v>624</v>
      </c>
      <c r="X81" s="79" t="s">
        <v>625</v>
      </c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</row>
    <row r="82" ht="19.5" customHeight="1">
      <c r="A82" s="79">
        <v>71.0</v>
      </c>
      <c r="B82" s="80" t="s">
        <v>23</v>
      </c>
      <c r="C82" s="91" t="s">
        <v>626</v>
      </c>
      <c r="D82" s="80" t="s">
        <v>627</v>
      </c>
      <c r="E82" s="81" t="s">
        <v>628</v>
      </c>
      <c r="F82" s="80" t="s">
        <v>81</v>
      </c>
      <c r="G82" s="80" t="s">
        <v>42</v>
      </c>
      <c r="H82" s="80" t="s">
        <v>21</v>
      </c>
      <c r="I82" s="80" t="s">
        <v>82</v>
      </c>
      <c r="J82" s="80" t="s">
        <v>45</v>
      </c>
      <c r="K82" s="80" t="s">
        <v>629</v>
      </c>
      <c r="L82" s="82" t="s">
        <v>630</v>
      </c>
      <c r="M82" s="83">
        <f t="shared" si="1"/>
        <v>800</v>
      </c>
      <c r="N82" s="84">
        <v>800.0</v>
      </c>
      <c r="O82" s="84">
        <v>0.0</v>
      </c>
      <c r="P82" s="84">
        <v>0.0</v>
      </c>
      <c r="Q82" s="94">
        <v>985.0</v>
      </c>
      <c r="R82" s="94">
        <v>6911.0</v>
      </c>
      <c r="S82" s="95" t="s">
        <v>631</v>
      </c>
      <c r="T82" s="94">
        <v>1.0</v>
      </c>
      <c r="U82" s="96">
        <v>35745.0</v>
      </c>
      <c r="V82" s="97" t="s">
        <v>632</v>
      </c>
      <c r="W82" s="97" t="s">
        <v>633</v>
      </c>
      <c r="X82" s="79" t="s">
        <v>634</v>
      </c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</row>
    <row r="83" ht="19.5" customHeight="1">
      <c r="A83" s="79">
        <v>72.0</v>
      </c>
      <c r="B83" s="80" t="s">
        <v>23</v>
      </c>
      <c r="C83" s="91" t="s">
        <v>626</v>
      </c>
      <c r="D83" s="80" t="s">
        <v>635</v>
      </c>
      <c r="E83" s="81" t="s">
        <v>636</v>
      </c>
      <c r="F83" s="80" t="s">
        <v>91</v>
      </c>
      <c r="G83" s="80" t="s">
        <v>42</v>
      </c>
      <c r="H83" s="80" t="s">
        <v>21</v>
      </c>
      <c r="I83" s="80" t="s">
        <v>637</v>
      </c>
      <c r="J83" s="80" t="s">
        <v>45</v>
      </c>
      <c r="K83" s="80" t="s">
        <v>638</v>
      </c>
      <c r="L83" s="82" t="s">
        <v>639</v>
      </c>
      <c r="M83" s="83">
        <f t="shared" si="1"/>
        <v>650</v>
      </c>
      <c r="N83" s="84">
        <v>650.0</v>
      </c>
      <c r="O83" s="84"/>
      <c r="P83" s="84"/>
      <c r="Q83" s="94">
        <v>1553.0</v>
      </c>
      <c r="R83" s="94">
        <v>4661.0</v>
      </c>
      <c r="S83" s="95" t="s">
        <v>85</v>
      </c>
      <c r="T83" s="94">
        <v>1.0</v>
      </c>
      <c r="U83" s="96">
        <v>37141.0</v>
      </c>
      <c r="V83" s="97" t="s">
        <v>640</v>
      </c>
      <c r="W83" s="97" t="s">
        <v>641</v>
      </c>
      <c r="X83" s="79" t="s">
        <v>642</v>
      </c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</row>
    <row r="84" ht="19.5" customHeight="1">
      <c r="A84" s="79">
        <v>73.0</v>
      </c>
      <c r="B84" s="80" t="s">
        <v>23</v>
      </c>
      <c r="C84" s="91" t="s">
        <v>626</v>
      </c>
      <c r="D84" s="80" t="s">
        <v>643</v>
      </c>
      <c r="E84" s="81" t="s">
        <v>644</v>
      </c>
      <c r="F84" s="80" t="s">
        <v>81</v>
      </c>
      <c r="G84" s="80" t="s">
        <v>49</v>
      </c>
      <c r="H84" s="80" t="s">
        <v>21</v>
      </c>
      <c r="I84" s="80" t="s">
        <v>82</v>
      </c>
      <c r="J84" s="80" t="s">
        <v>45</v>
      </c>
      <c r="K84" s="80" t="s">
        <v>645</v>
      </c>
      <c r="L84" s="82" t="s">
        <v>646</v>
      </c>
      <c r="M84" s="83">
        <f t="shared" si="1"/>
        <v>99</v>
      </c>
      <c r="N84" s="84">
        <v>99.0</v>
      </c>
      <c r="O84" s="84"/>
      <c r="P84" s="84"/>
      <c r="Q84" s="94">
        <v>17193.0</v>
      </c>
      <c r="R84" s="94">
        <v>915.0</v>
      </c>
      <c r="S84" s="95" t="s">
        <v>350</v>
      </c>
      <c r="T84" s="94">
        <v>1.0</v>
      </c>
      <c r="U84" s="96">
        <v>36647.0</v>
      </c>
      <c r="V84" s="97" t="s">
        <v>647</v>
      </c>
      <c r="W84" s="97" t="s">
        <v>648</v>
      </c>
      <c r="X84" s="79" t="s">
        <v>649</v>
      </c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</row>
    <row r="85" ht="19.5" customHeight="1">
      <c r="A85" s="79">
        <v>74.0</v>
      </c>
      <c r="B85" s="80" t="s">
        <v>23</v>
      </c>
      <c r="C85" s="91" t="s">
        <v>626</v>
      </c>
      <c r="D85" s="80" t="s">
        <v>643</v>
      </c>
      <c r="E85" s="81" t="s">
        <v>650</v>
      </c>
      <c r="F85" s="80" t="s">
        <v>81</v>
      </c>
      <c r="G85" s="80" t="s">
        <v>12</v>
      </c>
      <c r="H85" s="80" t="s">
        <v>21</v>
      </c>
      <c r="I85" s="80" t="s">
        <v>82</v>
      </c>
      <c r="J85" s="80" t="s">
        <v>45</v>
      </c>
      <c r="K85" s="80" t="s">
        <v>93</v>
      </c>
      <c r="L85" s="82" t="s">
        <v>651</v>
      </c>
      <c r="M85" s="83">
        <f t="shared" si="1"/>
        <v>291</v>
      </c>
      <c r="N85" s="84">
        <v>0.0</v>
      </c>
      <c r="O85" s="84">
        <v>291.0</v>
      </c>
      <c r="P85" s="84">
        <v>0.0</v>
      </c>
      <c r="Q85" s="94">
        <v>17223.0</v>
      </c>
      <c r="R85" s="94">
        <v>6483.0</v>
      </c>
      <c r="S85" s="95" t="s">
        <v>652</v>
      </c>
      <c r="T85" s="94">
        <v>1.0</v>
      </c>
      <c r="U85" s="96">
        <v>38785.0</v>
      </c>
      <c r="V85" s="97" t="s">
        <v>653</v>
      </c>
      <c r="W85" s="97" t="s">
        <v>654</v>
      </c>
      <c r="X85" s="79" t="s">
        <v>655</v>
      </c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</row>
    <row r="86" ht="19.5" customHeight="1">
      <c r="A86" s="79">
        <v>75.0</v>
      </c>
      <c r="B86" s="95" t="s">
        <v>23</v>
      </c>
      <c r="C86" s="91" t="s">
        <v>656</v>
      </c>
      <c r="D86" s="95" t="s">
        <v>657</v>
      </c>
      <c r="E86" s="100" t="s">
        <v>658</v>
      </c>
      <c r="F86" s="95" t="s">
        <v>81</v>
      </c>
      <c r="G86" s="80" t="s">
        <v>42</v>
      </c>
      <c r="H86" s="80" t="s">
        <v>21</v>
      </c>
      <c r="I86" s="95" t="s">
        <v>82</v>
      </c>
      <c r="J86" s="80" t="s">
        <v>45</v>
      </c>
      <c r="K86" s="95" t="s">
        <v>659</v>
      </c>
      <c r="L86" s="82" t="s">
        <v>660</v>
      </c>
      <c r="M86" s="83">
        <f t="shared" si="1"/>
        <v>850</v>
      </c>
      <c r="N86" s="84">
        <v>850.0</v>
      </c>
      <c r="O86" s="84">
        <v>0.0</v>
      </c>
      <c r="P86" s="84">
        <v>0.0</v>
      </c>
      <c r="Q86" s="94">
        <v>7710.0</v>
      </c>
      <c r="R86" s="94">
        <v>5083.0</v>
      </c>
      <c r="S86" s="95" t="s">
        <v>85</v>
      </c>
      <c r="T86" s="94">
        <v>2.0</v>
      </c>
      <c r="U86" s="96">
        <v>38737.0</v>
      </c>
      <c r="V86" s="97" t="s">
        <v>661</v>
      </c>
      <c r="W86" s="97" t="s">
        <v>662</v>
      </c>
      <c r="X86" s="79" t="s">
        <v>663</v>
      </c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</row>
    <row r="87" ht="19.5" customHeight="1">
      <c r="A87" s="79">
        <v>76.0</v>
      </c>
      <c r="B87" s="95" t="s">
        <v>23</v>
      </c>
      <c r="C87" s="91" t="s">
        <v>656</v>
      </c>
      <c r="D87" s="95" t="s">
        <v>664</v>
      </c>
      <c r="E87" s="100" t="s">
        <v>665</v>
      </c>
      <c r="F87" s="95" t="s">
        <v>81</v>
      </c>
      <c r="G87" s="80" t="s">
        <v>42</v>
      </c>
      <c r="H87" s="80" t="s">
        <v>21</v>
      </c>
      <c r="I87" s="95" t="s">
        <v>82</v>
      </c>
      <c r="J87" s="80" t="s">
        <v>45</v>
      </c>
      <c r="K87" s="95" t="s">
        <v>119</v>
      </c>
      <c r="L87" s="82" t="s">
        <v>666</v>
      </c>
      <c r="M87" s="83">
        <f t="shared" si="1"/>
        <v>732</v>
      </c>
      <c r="N87" s="84">
        <v>732.0</v>
      </c>
      <c r="O87" s="84">
        <v>0.0</v>
      </c>
      <c r="P87" s="84">
        <v>0.0</v>
      </c>
      <c r="Q87" s="94">
        <v>7347.0</v>
      </c>
      <c r="R87" s="94">
        <v>4557.0</v>
      </c>
      <c r="S87" s="95" t="s">
        <v>538</v>
      </c>
      <c r="T87" s="94">
        <v>2.0</v>
      </c>
      <c r="U87" s="96">
        <v>34855.0</v>
      </c>
      <c r="V87" s="97" t="s">
        <v>667</v>
      </c>
      <c r="W87" s="97" t="s">
        <v>668</v>
      </c>
      <c r="X87" s="79" t="s">
        <v>669</v>
      </c>
      <c r="Y87" s="98"/>
      <c r="Z87" s="98"/>
      <c r="AA87" s="98"/>
      <c r="AB87" s="98"/>
      <c r="AC87" s="98"/>
      <c r="AD87" s="98"/>
      <c r="AE87" s="98"/>
      <c r="AF87" s="98"/>
      <c r="AG87" s="98"/>
      <c r="AH87" s="98"/>
      <c r="AI87" s="98"/>
      <c r="AJ87" s="98"/>
      <c r="AK87" s="98"/>
      <c r="AL87" s="98"/>
      <c r="AM87" s="98"/>
      <c r="AN87" s="98"/>
      <c r="AO87" s="98"/>
      <c r="AP87" s="98"/>
      <c r="AQ87" s="98"/>
      <c r="AR87" s="98"/>
    </row>
    <row r="88" ht="19.5" customHeight="1">
      <c r="A88" s="79">
        <v>77.0</v>
      </c>
      <c r="B88" s="106" t="s">
        <v>24</v>
      </c>
      <c r="C88" s="91" t="s">
        <v>670</v>
      </c>
      <c r="D88" s="107" t="s">
        <v>671</v>
      </c>
      <c r="E88" s="108" t="s">
        <v>672</v>
      </c>
      <c r="F88" s="107" t="s">
        <v>22</v>
      </c>
      <c r="G88" s="80" t="s">
        <v>46</v>
      </c>
      <c r="H88" s="80" t="s">
        <v>22</v>
      </c>
      <c r="I88" s="107" t="s">
        <v>673</v>
      </c>
      <c r="J88" s="109" t="s">
        <v>43</v>
      </c>
      <c r="K88" s="107" t="s">
        <v>673</v>
      </c>
      <c r="L88" s="110" t="s">
        <v>674</v>
      </c>
      <c r="M88" s="83">
        <f t="shared" si="1"/>
        <v>168</v>
      </c>
      <c r="N88" s="84"/>
      <c r="O88" s="84">
        <v>168.0</v>
      </c>
      <c r="P88" s="84"/>
      <c r="Q88" s="94">
        <v>70735.0</v>
      </c>
      <c r="R88" s="94">
        <v>3143.0</v>
      </c>
      <c r="S88" s="95" t="s">
        <v>350</v>
      </c>
      <c r="T88" s="94">
        <v>17.0</v>
      </c>
      <c r="U88" s="96">
        <v>39161.0</v>
      </c>
      <c r="V88" s="97" t="s">
        <v>675</v>
      </c>
      <c r="W88" s="97"/>
      <c r="X88" s="79"/>
      <c r="Y88" s="99"/>
      <c r="Z88" s="99"/>
      <c r="AA88" s="99"/>
      <c r="AB88" s="99"/>
      <c r="AC88" s="99"/>
      <c r="AD88" s="99"/>
      <c r="AE88" s="99"/>
      <c r="AF88" s="99"/>
      <c r="AG88" s="99"/>
      <c r="AH88" s="99"/>
      <c r="AI88" s="99"/>
      <c r="AJ88" s="99"/>
      <c r="AK88" s="99"/>
      <c r="AL88" s="99"/>
      <c r="AM88" s="99"/>
      <c r="AN88" s="99"/>
      <c r="AO88" s="99"/>
      <c r="AP88" s="99"/>
      <c r="AQ88" s="99"/>
      <c r="AR88" s="99"/>
    </row>
    <row r="89" ht="19.5" customHeight="1">
      <c r="A89" s="79">
        <v>78.0</v>
      </c>
      <c r="B89" s="106" t="s">
        <v>24</v>
      </c>
      <c r="C89" s="91" t="s">
        <v>670</v>
      </c>
      <c r="D89" s="107" t="s">
        <v>676</v>
      </c>
      <c r="E89" s="108" t="s">
        <v>677</v>
      </c>
      <c r="F89" s="107" t="s">
        <v>81</v>
      </c>
      <c r="G89" s="80" t="s">
        <v>42</v>
      </c>
      <c r="H89" s="80" t="s">
        <v>21</v>
      </c>
      <c r="I89" s="107" t="s">
        <v>678</v>
      </c>
      <c r="J89" s="109" t="s">
        <v>45</v>
      </c>
      <c r="K89" s="107" t="s">
        <v>679</v>
      </c>
      <c r="L89" s="110" t="s">
        <v>680</v>
      </c>
      <c r="M89" s="83">
        <f t="shared" si="1"/>
        <v>305</v>
      </c>
      <c r="N89" s="84">
        <v>305.0</v>
      </c>
      <c r="O89" s="84"/>
      <c r="P89" s="84"/>
      <c r="Q89" s="94">
        <v>6256.0</v>
      </c>
      <c r="R89" s="94">
        <v>1956.0</v>
      </c>
      <c r="S89" s="95" t="s">
        <v>380</v>
      </c>
      <c r="T89" s="94">
        <v>1.0</v>
      </c>
      <c r="U89" s="96">
        <v>38398.0</v>
      </c>
      <c r="V89" s="97" t="s">
        <v>681</v>
      </c>
      <c r="W89" s="97" t="s">
        <v>682</v>
      </c>
      <c r="X89" s="79" t="s">
        <v>683</v>
      </c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</row>
    <row r="90" ht="19.5" customHeight="1">
      <c r="A90" s="79">
        <v>79.0</v>
      </c>
      <c r="B90" s="106" t="s">
        <v>24</v>
      </c>
      <c r="C90" s="91" t="s">
        <v>684</v>
      </c>
      <c r="D90" s="107" t="s">
        <v>685</v>
      </c>
      <c r="E90" s="108" t="s">
        <v>686</v>
      </c>
      <c r="F90" s="107" t="s">
        <v>687</v>
      </c>
      <c r="G90" s="80" t="s">
        <v>42</v>
      </c>
      <c r="H90" s="80" t="s">
        <v>21</v>
      </c>
      <c r="I90" s="107" t="s">
        <v>688</v>
      </c>
      <c r="J90" s="109" t="s">
        <v>47</v>
      </c>
      <c r="K90" s="107" t="s">
        <v>689</v>
      </c>
      <c r="L90" s="110" t="s">
        <v>690</v>
      </c>
      <c r="M90" s="83">
        <f t="shared" si="1"/>
        <v>440</v>
      </c>
      <c r="N90" s="84">
        <v>300.0</v>
      </c>
      <c r="O90" s="84">
        <v>140.0</v>
      </c>
      <c r="P90" s="84"/>
      <c r="Q90" s="94">
        <v>26427.0</v>
      </c>
      <c r="R90" s="94">
        <v>3663.0</v>
      </c>
      <c r="S90" s="95" t="s">
        <v>380</v>
      </c>
      <c r="T90" s="94">
        <v>1.0</v>
      </c>
      <c r="U90" s="96">
        <v>36943.0</v>
      </c>
      <c r="V90" s="97" t="s">
        <v>691</v>
      </c>
      <c r="W90" s="97" t="s">
        <v>692</v>
      </c>
      <c r="X90" s="79" t="s">
        <v>693</v>
      </c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</row>
    <row r="91" ht="19.5" customHeight="1">
      <c r="A91" s="79">
        <v>80.0</v>
      </c>
      <c r="B91" s="106" t="s">
        <v>24</v>
      </c>
      <c r="C91" s="91" t="s">
        <v>684</v>
      </c>
      <c r="D91" s="107" t="s">
        <v>694</v>
      </c>
      <c r="E91" s="108" t="s">
        <v>695</v>
      </c>
      <c r="F91" s="107" t="s">
        <v>687</v>
      </c>
      <c r="G91" s="80" t="s">
        <v>46</v>
      </c>
      <c r="H91" s="80" t="s">
        <v>21</v>
      </c>
      <c r="I91" s="107" t="s">
        <v>688</v>
      </c>
      <c r="J91" s="109" t="s">
        <v>47</v>
      </c>
      <c r="K91" s="107" t="s">
        <v>689</v>
      </c>
      <c r="L91" s="110" t="s">
        <v>696</v>
      </c>
      <c r="M91" s="83">
        <f t="shared" si="1"/>
        <v>360</v>
      </c>
      <c r="N91" s="84">
        <v>180.0</v>
      </c>
      <c r="O91" s="84">
        <v>180.0</v>
      </c>
      <c r="P91" s="84"/>
      <c r="Q91" s="94">
        <v>19305.0</v>
      </c>
      <c r="R91" s="94">
        <v>3005.0</v>
      </c>
      <c r="S91" s="95" t="s">
        <v>697</v>
      </c>
      <c r="T91" s="94">
        <v>13.0</v>
      </c>
      <c r="U91" s="96">
        <v>40044.0</v>
      </c>
      <c r="V91" s="97" t="s">
        <v>698</v>
      </c>
      <c r="W91" s="97" t="s">
        <v>699</v>
      </c>
      <c r="X91" s="79" t="s">
        <v>700</v>
      </c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</row>
    <row r="92" ht="19.5" customHeight="1">
      <c r="A92" s="79">
        <v>81.0</v>
      </c>
      <c r="B92" s="91" t="s">
        <v>24</v>
      </c>
      <c r="C92" s="91" t="s">
        <v>684</v>
      </c>
      <c r="D92" s="109" t="s">
        <v>701</v>
      </c>
      <c r="E92" s="111" t="s">
        <v>702</v>
      </c>
      <c r="F92" s="109" t="s">
        <v>687</v>
      </c>
      <c r="G92" s="80" t="s">
        <v>44</v>
      </c>
      <c r="H92" s="80" t="s">
        <v>21</v>
      </c>
      <c r="I92" s="109" t="s">
        <v>688</v>
      </c>
      <c r="J92" s="109" t="s">
        <v>47</v>
      </c>
      <c r="K92" s="112" t="s">
        <v>689</v>
      </c>
      <c r="L92" s="113" t="s">
        <v>703</v>
      </c>
      <c r="M92" s="83">
        <f t="shared" si="1"/>
        <v>100</v>
      </c>
      <c r="N92" s="84">
        <v>100.0</v>
      </c>
      <c r="O92" s="84"/>
      <c r="P92" s="84"/>
      <c r="Q92" s="94">
        <v>5648.0</v>
      </c>
      <c r="R92" s="94">
        <v>408.33</v>
      </c>
      <c r="S92" s="95" t="s">
        <v>704</v>
      </c>
      <c r="T92" s="94">
        <v>1.0</v>
      </c>
      <c r="U92" s="96">
        <v>44669.0</v>
      </c>
      <c r="V92" s="97" t="s">
        <v>705</v>
      </c>
      <c r="W92" s="97" t="s">
        <v>706</v>
      </c>
      <c r="X92" s="79" t="s">
        <v>707</v>
      </c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</row>
    <row r="93" ht="19.5" customHeight="1">
      <c r="A93" s="79">
        <v>82.0</v>
      </c>
      <c r="B93" s="106" t="s">
        <v>24</v>
      </c>
      <c r="C93" s="91" t="s">
        <v>708</v>
      </c>
      <c r="D93" s="114" t="s">
        <v>709</v>
      </c>
      <c r="E93" s="115" t="s">
        <v>710</v>
      </c>
      <c r="F93" s="114" t="s">
        <v>22</v>
      </c>
      <c r="G93" s="80" t="s">
        <v>12</v>
      </c>
      <c r="H93" s="80" t="s">
        <v>22</v>
      </c>
      <c r="I93" s="114" t="s">
        <v>711</v>
      </c>
      <c r="J93" s="116" t="s">
        <v>43</v>
      </c>
      <c r="K93" s="117"/>
      <c r="L93" s="118" t="s">
        <v>712</v>
      </c>
      <c r="M93" s="83">
        <f t="shared" si="1"/>
        <v>356</v>
      </c>
      <c r="N93" s="84">
        <v>0.0</v>
      </c>
      <c r="O93" s="84">
        <v>356.0</v>
      </c>
      <c r="P93" s="84"/>
      <c r="Q93" s="94">
        <v>28503.1</v>
      </c>
      <c r="R93" s="94">
        <v>39238.45</v>
      </c>
      <c r="S93" s="95" t="s">
        <v>713</v>
      </c>
      <c r="T93" s="94">
        <v>1.0</v>
      </c>
      <c r="U93" s="96" t="s">
        <v>714</v>
      </c>
      <c r="V93" s="97" t="s">
        <v>715</v>
      </c>
      <c r="W93" s="97" t="s">
        <v>716</v>
      </c>
      <c r="X93" s="79" t="s">
        <v>717</v>
      </c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</row>
    <row r="94" ht="19.5" customHeight="1">
      <c r="A94" s="79">
        <v>83.0</v>
      </c>
      <c r="B94" s="106" t="s">
        <v>24</v>
      </c>
      <c r="C94" s="91" t="s">
        <v>718</v>
      </c>
      <c r="D94" s="107" t="s">
        <v>719</v>
      </c>
      <c r="E94" s="108" t="s">
        <v>720</v>
      </c>
      <c r="F94" s="107" t="s">
        <v>91</v>
      </c>
      <c r="G94" s="80" t="s">
        <v>42</v>
      </c>
      <c r="H94" s="80" t="s">
        <v>21</v>
      </c>
      <c r="I94" s="107" t="s">
        <v>721</v>
      </c>
      <c r="J94" s="109" t="s">
        <v>45</v>
      </c>
      <c r="K94" s="119" t="s">
        <v>722</v>
      </c>
      <c r="L94" s="120" t="s">
        <v>723</v>
      </c>
      <c r="M94" s="83">
        <f t="shared" si="1"/>
        <v>250</v>
      </c>
      <c r="N94" s="84">
        <v>250.0</v>
      </c>
      <c r="O94" s="84">
        <v>0.0</v>
      </c>
      <c r="P94" s="84">
        <v>0.0</v>
      </c>
      <c r="Q94" s="94">
        <v>2713.0</v>
      </c>
      <c r="R94" s="94">
        <v>2777.0</v>
      </c>
      <c r="S94" s="95" t="s">
        <v>724</v>
      </c>
      <c r="T94" s="94">
        <v>1.0</v>
      </c>
      <c r="U94" s="96" t="s">
        <v>725</v>
      </c>
      <c r="V94" s="97" t="s">
        <v>726</v>
      </c>
      <c r="W94" s="97" t="s">
        <v>727</v>
      </c>
      <c r="X94" s="79" t="s">
        <v>728</v>
      </c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</row>
    <row r="95" ht="19.5" customHeight="1">
      <c r="A95" s="79">
        <v>84.0</v>
      </c>
      <c r="B95" s="106" t="s">
        <v>24</v>
      </c>
      <c r="C95" s="91" t="s">
        <v>729</v>
      </c>
      <c r="D95" s="107" t="s">
        <v>730</v>
      </c>
      <c r="E95" s="108" t="s">
        <v>731</v>
      </c>
      <c r="F95" s="107" t="s">
        <v>22</v>
      </c>
      <c r="G95" s="80" t="s">
        <v>44</v>
      </c>
      <c r="H95" s="80" t="s">
        <v>22</v>
      </c>
      <c r="I95" s="107" t="s">
        <v>732</v>
      </c>
      <c r="J95" s="109" t="s">
        <v>43</v>
      </c>
      <c r="K95" s="107"/>
      <c r="L95" s="110" t="s">
        <v>733</v>
      </c>
      <c r="M95" s="83">
        <f t="shared" si="1"/>
        <v>250</v>
      </c>
      <c r="N95" s="84">
        <v>250.0</v>
      </c>
      <c r="O95" s="84"/>
      <c r="P95" s="84"/>
      <c r="Q95" s="94">
        <v>8680.0</v>
      </c>
      <c r="R95" s="94">
        <v>3536.0</v>
      </c>
      <c r="S95" s="95" t="s">
        <v>103</v>
      </c>
      <c r="T95" s="94">
        <v>1.0</v>
      </c>
      <c r="U95" s="96">
        <v>35566.0</v>
      </c>
      <c r="V95" s="97" t="s">
        <v>734</v>
      </c>
      <c r="W95" s="97" t="s">
        <v>735</v>
      </c>
      <c r="X95" s="79"/>
      <c r="Y95" s="99"/>
      <c r="Z95" s="99"/>
      <c r="AA95" s="99"/>
      <c r="AB95" s="99"/>
      <c r="AC95" s="99"/>
      <c r="AD95" s="99"/>
      <c r="AE95" s="99"/>
      <c r="AF95" s="99"/>
      <c r="AG95" s="99"/>
      <c r="AH95" s="99"/>
      <c r="AI95" s="99"/>
      <c r="AJ95" s="99"/>
      <c r="AK95" s="99"/>
      <c r="AL95" s="99"/>
      <c r="AM95" s="99"/>
      <c r="AN95" s="99"/>
      <c r="AO95" s="99"/>
      <c r="AP95" s="99"/>
      <c r="AQ95" s="99"/>
      <c r="AR95" s="99"/>
    </row>
    <row r="96" ht="19.5" customHeight="1">
      <c r="A96" s="79">
        <v>85.0</v>
      </c>
      <c r="B96" s="95" t="s">
        <v>24</v>
      </c>
      <c r="C96" s="91" t="s">
        <v>729</v>
      </c>
      <c r="D96" s="112" t="s">
        <v>730</v>
      </c>
      <c r="E96" s="110" t="s">
        <v>736</v>
      </c>
      <c r="F96" s="112" t="s">
        <v>81</v>
      </c>
      <c r="G96" s="80" t="s">
        <v>42</v>
      </c>
      <c r="H96" s="80" t="s">
        <v>21</v>
      </c>
      <c r="I96" s="112" t="s">
        <v>678</v>
      </c>
      <c r="J96" s="109" t="s">
        <v>45</v>
      </c>
      <c r="K96" s="112" t="s">
        <v>737</v>
      </c>
      <c r="L96" s="110" t="s">
        <v>738</v>
      </c>
      <c r="M96" s="83">
        <f t="shared" si="1"/>
        <v>380</v>
      </c>
      <c r="N96" s="84">
        <v>380.0</v>
      </c>
      <c r="O96" s="84"/>
      <c r="P96" s="84"/>
      <c r="Q96" s="94">
        <v>1108.0</v>
      </c>
      <c r="R96" s="94">
        <v>5451.0</v>
      </c>
      <c r="S96" s="95" t="s">
        <v>491</v>
      </c>
      <c r="T96" s="94">
        <v>1.0</v>
      </c>
      <c r="U96" s="96">
        <v>33595.0</v>
      </c>
      <c r="V96" s="97" t="s">
        <v>739</v>
      </c>
      <c r="W96" s="97" t="s">
        <v>740</v>
      </c>
      <c r="X96" s="79" t="s">
        <v>741</v>
      </c>
      <c r="Y96" s="99"/>
      <c r="Z96" s="99"/>
      <c r="AA96" s="99"/>
      <c r="AB96" s="99"/>
      <c r="AC96" s="99"/>
      <c r="AD96" s="99"/>
      <c r="AE96" s="99"/>
      <c r="AF96" s="99"/>
      <c r="AG96" s="99"/>
      <c r="AH96" s="99"/>
      <c r="AI96" s="99"/>
      <c r="AJ96" s="99"/>
      <c r="AK96" s="99"/>
      <c r="AL96" s="99"/>
      <c r="AM96" s="99"/>
      <c r="AN96" s="99"/>
      <c r="AO96" s="99"/>
      <c r="AP96" s="99"/>
      <c r="AQ96" s="99"/>
      <c r="AR96" s="99"/>
    </row>
    <row r="97" ht="19.5" customHeight="1">
      <c r="A97" s="79">
        <v>86.0</v>
      </c>
      <c r="B97" s="95" t="s">
        <v>24</v>
      </c>
      <c r="C97" s="91" t="s">
        <v>729</v>
      </c>
      <c r="D97" s="112" t="s">
        <v>742</v>
      </c>
      <c r="E97" s="110" t="s">
        <v>743</v>
      </c>
      <c r="F97" s="112" t="s">
        <v>91</v>
      </c>
      <c r="G97" s="80" t="s">
        <v>44</v>
      </c>
      <c r="H97" s="80" t="s">
        <v>21</v>
      </c>
      <c r="I97" s="112" t="s">
        <v>744</v>
      </c>
      <c r="J97" s="109" t="s">
        <v>45</v>
      </c>
      <c r="K97" s="112" t="s">
        <v>745</v>
      </c>
      <c r="L97" s="110" t="s">
        <v>746</v>
      </c>
      <c r="M97" s="83">
        <f t="shared" si="1"/>
        <v>150</v>
      </c>
      <c r="N97" s="84">
        <v>150.0</v>
      </c>
      <c r="O97" s="84"/>
      <c r="P97" s="84"/>
      <c r="Q97" s="94">
        <v>616.5</v>
      </c>
      <c r="R97" s="94">
        <v>990.6</v>
      </c>
      <c r="S97" s="95" t="s">
        <v>747</v>
      </c>
      <c r="T97" s="94">
        <v>1.0</v>
      </c>
      <c r="U97" s="96">
        <v>42816.0</v>
      </c>
      <c r="V97" s="97" t="s">
        <v>748</v>
      </c>
      <c r="W97" s="97" t="s">
        <v>749</v>
      </c>
      <c r="X97" s="79" t="s">
        <v>750</v>
      </c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99"/>
      <c r="AK97" s="99"/>
      <c r="AL97" s="99"/>
      <c r="AM97" s="99"/>
      <c r="AN97" s="99"/>
      <c r="AO97" s="99"/>
      <c r="AP97" s="99"/>
      <c r="AQ97" s="99"/>
      <c r="AR97" s="99"/>
    </row>
    <row r="98" ht="19.5" customHeight="1">
      <c r="A98" s="79">
        <v>87.0</v>
      </c>
      <c r="B98" s="95" t="s">
        <v>24</v>
      </c>
      <c r="C98" s="91" t="s">
        <v>729</v>
      </c>
      <c r="D98" s="112" t="s">
        <v>751</v>
      </c>
      <c r="E98" s="110" t="s">
        <v>752</v>
      </c>
      <c r="F98" s="112" t="s">
        <v>91</v>
      </c>
      <c r="G98" s="80" t="s">
        <v>44</v>
      </c>
      <c r="H98" s="80" t="s">
        <v>21</v>
      </c>
      <c r="I98" s="112" t="s">
        <v>744</v>
      </c>
      <c r="J98" s="109" t="s">
        <v>45</v>
      </c>
      <c r="K98" s="112" t="s">
        <v>753</v>
      </c>
      <c r="L98" s="110" t="s">
        <v>754</v>
      </c>
      <c r="M98" s="83">
        <f t="shared" si="1"/>
        <v>150</v>
      </c>
      <c r="N98" s="84">
        <v>150.0</v>
      </c>
      <c r="O98" s="84"/>
      <c r="P98" s="84"/>
      <c r="Q98" s="94">
        <v>4579.0</v>
      </c>
      <c r="R98" s="94">
        <v>1097.11</v>
      </c>
      <c r="S98" s="95" t="s">
        <v>103</v>
      </c>
      <c r="T98" s="94">
        <v>1.0</v>
      </c>
      <c r="U98" s="96">
        <v>36505.0</v>
      </c>
      <c r="V98" s="97" t="s">
        <v>755</v>
      </c>
      <c r="W98" s="97" t="s">
        <v>756</v>
      </c>
      <c r="X98" s="79" t="s">
        <v>757</v>
      </c>
      <c r="Y98" s="99"/>
      <c r="Z98" s="99"/>
      <c r="AA98" s="99"/>
      <c r="AB98" s="99"/>
      <c r="AC98" s="99"/>
      <c r="AD98" s="99"/>
      <c r="AE98" s="99"/>
      <c r="AF98" s="99"/>
      <c r="AG98" s="99"/>
      <c r="AH98" s="99"/>
      <c r="AI98" s="99"/>
      <c r="AJ98" s="99"/>
      <c r="AK98" s="99"/>
      <c r="AL98" s="99"/>
      <c r="AM98" s="99"/>
      <c r="AN98" s="99"/>
      <c r="AO98" s="99"/>
      <c r="AP98" s="99"/>
      <c r="AQ98" s="99"/>
      <c r="AR98" s="99"/>
    </row>
    <row r="99" ht="19.5" customHeight="1">
      <c r="A99" s="79">
        <v>88.0</v>
      </c>
      <c r="B99" s="106" t="s">
        <v>24</v>
      </c>
      <c r="C99" s="91" t="s">
        <v>729</v>
      </c>
      <c r="D99" s="107" t="s">
        <v>758</v>
      </c>
      <c r="E99" s="110" t="s">
        <v>759</v>
      </c>
      <c r="F99" s="107" t="s">
        <v>91</v>
      </c>
      <c r="G99" s="80" t="s">
        <v>44</v>
      </c>
      <c r="H99" s="80" t="s">
        <v>21</v>
      </c>
      <c r="I99" s="107" t="s">
        <v>744</v>
      </c>
      <c r="J99" s="109" t="s">
        <v>45</v>
      </c>
      <c r="K99" s="107" t="s">
        <v>760</v>
      </c>
      <c r="L99" s="113" t="s">
        <v>761</v>
      </c>
      <c r="M99" s="83">
        <f t="shared" si="1"/>
        <v>150</v>
      </c>
      <c r="N99" s="84">
        <v>150.0</v>
      </c>
      <c r="O99" s="84"/>
      <c r="P99" s="84"/>
      <c r="Q99" s="94">
        <v>810.0</v>
      </c>
      <c r="R99" s="94">
        <v>689.0</v>
      </c>
      <c r="S99" s="95" t="s">
        <v>747</v>
      </c>
      <c r="T99" s="94">
        <v>1.0</v>
      </c>
      <c r="U99" s="96">
        <v>44593.0</v>
      </c>
      <c r="V99" s="97" t="s">
        <v>762</v>
      </c>
      <c r="W99" s="97" t="s">
        <v>763</v>
      </c>
      <c r="X99" s="79" t="s">
        <v>764</v>
      </c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8"/>
    </row>
    <row r="100" ht="19.5" customHeight="1">
      <c r="A100" s="79">
        <v>89.0</v>
      </c>
      <c r="B100" s="106" t="s">
        <v>24</v>
      </c>
      <c r="C100" s="91" t="s">
        <v>765</v>
      </c>
      <c r="D100" s="114" t="s">
        <v>766</v>
      </c>
      <c r="E100" s="121" t="s">
        <v>767</v>
      </c>
      <c r="F100" s="114" t="s">
        <v>81</v>
      </c>
      <c r="G100" s="80" t="s">
        <v>42</v>
      </c>
      <c r="H100" s="80" t="s">
        <v>21</v>
      </c>
      <c r="I100" s="114" t="s">
        <v>678</v>
      </c>
      <c r="J100" s="116" t="s">
        <v>45</v>
      </c>
      <c r="K100" s="114" t="s">
        <v>760</v>
      </c>
      <c r="L100" s="121" t="s">
        <v>768</v>
      </c>
      <c r="M100" s="83">
        <f t="shared" si="1"/>
        <v>650</v>
      </c>
      <c r="N100" s="84">
        <v>650.0</v>
      </c>
      <c r="O100" s="84"/>
      <c r="P100" s="84"/>
      <c r="Q100" s="94">
        <v>11909.0</v>
      </c>
      <c r="R100" s="94">
        <v>6939.0</v>
      </c>
      <c r="S100" s="95" t="s">
        <v>769</v>
      </c>
      <c r="T100" s="94">
        <v>1.0</v>
      </c>
      <c r="U100" s="96">
        <v>36631.0</v>
      </c>
      <c r="V100" s="97" t="s">
        <v>770</v>
      </c>
      <c r="W100" s="97" t="s">
        <v>771</v>
      </c>
      <c r="X100" s="79" t="s">
        <v>772</v>
      </c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</row>
    <row r="101" ht="19.5" customHeight="1">
      <c r="A101" s="79">
        <v>90.0</v>
      </c>
      <c r="B101" s="106" t="s">
        <v>24</v>
      </c>
      <c r="C101" s="91" t="s">
        <v>765</v>
      </c>
      <c r="D101" s="107" t="s">
        <v>773</v>
      </c>
      <c r="E101" s="110" t="s">
        <v>774</v>
      </c>
      <c r="F101" s="107" t="s">
        <v>91</v>
      </c>
      <c r="G101" s="80" t="s">
        <v>44</v>
      </c>
      <c r="H101" s="80" t="s">
        <v>21</v>
      </c>
      <c r="I101" s="107" t="s">
        <v>775</v>
      </c>
      <c r="J101" s="109" t="s">
        <v>45</v>
      </c>
      <c r="K101" s="107" t="s">
        <v>760</v>
      </c>
      <c r="L101" s="110" t="s">
        <v>776</v>
      </c>
      <c r="M101" s="83">
        <f t="shared" si="1"/>
        <v>71</v>
      </c>
      <c r="N101" s="84">
        <v>71.0</v>
      </c>
      <c r="O101" s="84"/>
      <c r="P101" s="84"/>
      <c r="Q101" s="94">
        <v>684.0</v>
      </c>
      <c r="R101" s="94">
        <v>559.0</v>
      </c>
      <c r="S101" s="95" t="s">
        <v>777</v>
      </c>
      <c r="T101" s="94">
        <v>1.0</v>
      </c>
      <c r="U101" s="96">
        <v>37282.0</v>
      </c>
      <c r="V101" s="97" t="s">
        <v>778</v>
      </c>
      <c r="W101" s="97" t="s">
        <v>779</v>
      </c>
      <c r="X101" s="79" t="s">
        <v>780</v>
      </c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  <c r="AR101" s="122"/>
    </row>
    <row r="102" ht="19.5" customHeight="1">
      <c r="A102" s="79">
        <v>91.0</v>
      </c>
      <c r="B102" s="106" t="s">
        <v>24</v>
      </c>
      <c r="C102" s="91" t="s">
        <v>781</v>
      </c>
      <c r="D102" s="107" t="s">
        <v>782</v>
      </c>
      <c r="E102" s="110" t="s">
        <v>783</v>
      </c>
      <c r="F102" s="107" t="s">
        <v>91</v>
      </c>
      <c r="G102" s="80" t="s">
        <v>42</v>
      </c>
      <c r="H102" s="80" t="s">
        <v>21</v>
      </c>
      <c r="I102" s="107" t="s">
        <v>784</v>
      </c>
      <c r="J102" s="109" t="s">
        <v>45</v>
      </c>
      <c r="K102" s="107" t="s">
        <v>753</v>
      </c>
      <c r="L102" s="110" t="s">
        <v>785</v>
      </c>
      <c r="M102" s="83">
        <f t="shared" si="1"/>
        <v>475</v>
      </c>
      <c r="N102" s="84">
        <v>475.0</v>
      </c>
      <c r="O102" s="84"/>
      <c r="P102" s="84"/>
      <c r="Q102" s="94">
        <v>3578.0</v>
      </c>
      <c r="R102" s="94">
        <v>4180.0</v>
      </c>
      <c r="S102" s="95" t="s">
        <v>786</v>
      </c>
      <c r="T102" s="94">
        <v>1.0</v>
      </c>
      <c r="U102" s="96">
        <v>35679.0</v>
      </c>
      <c r="V102" s="97" t="s">
        <v>787</v>
      </c>
      <c r="W102" s="97" t="s">
        <v>788</v>
      </c>
      <c r="X102" s="79" t="s">
        <v>789</v>
      </c>
      <c r="Y102" s="99"/>
      <c r="Z102" s="99"/>
      <c r="AA102" s="99"/>
      <c r="AB102" s="99"/>
      <c r="AC102" s="99"/>
      <c r="AD102" s="99"/>
      <c r="AE102" s="99"/>
      <c r="AF102" s="99"/>
      <c r="AG102" s="99"/>
      <c r="AH102" s="99"/>
      <c r="AI102" s="99"/>
      <c r="AJ102" s="99"/>
      <c r="AK102" s="99"/>
      <c r="AL102" s="99"/>
      <c r="AM102" s="99"/>
      <c r="AN102" s="99"/>
      <c r="AO102" s="99"/>
      <c r="AP102" s="99"/>
      <c r="AQ102" s="99"/>
      <c r="AR102" s="99"/>
    </row>
    <row r="103" ht="19.5" customHeight="1">
      <c r="A103" s="79">
        <v>92.0</v>
      </c>
      <c r="B103" s="106" t="s">
        <v>24</v>
      </c>
      <c r="C103" s="91" t="s">
        <v>790</v>
      </c>
      <c r="D103" s="107" t="s">
        <v>791</v>
      </c>
      <c r="E103" s="110" t="s">
        <v>792</v>
      </c>
      <c r="F103" s="107" t="s">
        <v>91</v>
      </c>
      <c r="G103" s="80" t="s">
        <v>44</v>
      </c>
      <c r="H103" s="80" t="s">
        <v>21</v>
      </c>
      <c r="I103" s="107" t="s">
        <v>793</v>
      </c>
      <c r="J103" s="109" t="s">
        <v>45</v>
      </c>
      <c r="K103" s="112" t="s">
        <v>794</v>
      </c>
      <c r="L103" s="110" t="s">
        <v>795</v>
      </c>
      <c r="M103" s="83">
        <f t="shared" si="1"/>
        <v>95</v>
      </c>
      <c r="N103" s="84">
        <v>95.0</v>
      </c>
      <c r="O103" s="84"/>
      <c r="P103" s="84"/>
      <c r="Q103" s="94">
        <v>1145.0</v>
      </c>
      <c r="R103" s="94">
        <v>1355.0</v>
      </c>
      <c r="S103" s="95" t="s">
        <v>320</v>
      </c>
      <c r="T103" s="94">
        <v>1.0</v>
      </c>
      <c r="U103" s="96">
        <v>41876.0</v>
      </c>
      <c r="V103" s="97" t="s">
        <v>796</v>
      </c>
      <c r="W103" s="97" t="s">
        <v>797</v>
      </c>
      <c r="X103" s="79" t="s">
        <v>798</v>
      </c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</row>
    <row r="104" ht="19.5" customHeight="1">
      <c r="A104" s="79">
        <v>93.0</v>
      </c>
      <c r="B104" s="106" t="s">
        <v>24</v>
      </c>
      <c r="C104" s="91" t="s">
        <v>790</v>
      </c>
      <c r="D104" s="107" t="s">
        <v>799</v>
      </c>
      <c r="E104" s="110" t="s">
        <v>800</v>
      </c>
      <c r="F104" s="107" t="s">
        <v>801</v>
      </c>
      <c r="G104" s="80" t="s">
        <v>46</v>
      </c>
      <c r="H104" s="80" t="s">
        <v>21</v>
      </c>
      <c r="I104" s="107" t="s">
        <v>802</v>
      </c>
      <c r="J104" s="109" t="s">
        <v>45</v>
      </c>
      <c r="K104" s="112" t="s">
        <v>803</v>
      </c>
      <c r="L104" s="110" t="s">
        <v>804</v>
      </c>
      <c r="M104" s="83">
        <f t="shared" si="1"/>
        <v>124</v>
      </c>
      <c r="N104" s="84"/>
      <c r="O104" s="84">
        <v>124.0</v>
      </c>
      <c r="P104" s="84"/>
      <c r="Q104" s="94">
        <v>64710.0</v>
      </c>
      <c r="R104" s="94">
        <v>10691.0</v>
      </c>
      <c r="S104" s="95" t="s">
        <v>314</v>
      </c>
      <c r="T104" s="94">
        <v>4.0</v>
      </c>
      <c r="U104" s="96">
        <v>45483.0</v>
      </c>
      <c r="V104" s="97" t="s">
        <v>805</v>
      </c>
      <c r="W104" s="97" t="s">
        <v>806</v>
      </c>
      <c r="X104" s="79" t="s">
        <v>807</v>
      </c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</row>
    <row r="105" ht="19.5" customHeight="1">
      <c r="A105" s="79">
        <v>94.0</v>
      </c>
      <c r="B105" s="95" t="s">
        <v>24</v>
      </c>
      <c r="C105" s="91" t="s">
        <v>808</v>
      </c>
      <c r="D105" s="112" t="s">
        <v>809</v>
      </c>
      <c r="E105" s="110" t="s">
        <v>810</v>
      </c>
      <c r="F105" s="112" t="s">
        <v>91</v>
      </c>
      <c r="G105" s="80" t="s">
        <v>42</v>
      </c>
      <c r="H105" s="80" t="s">
        <v>21</v>
      </c>
      <c r="I105" s="112" t="s">
        <v>811</v>
      </c>
      <c r="J105" s="109" t="s">
        <v>45</v>
      </c>
      <c r="K105" s="112" t="s">
        <v>794</v>
      </c>
      <c r="L105" s="110" t="s">
        <v>812</v>
      </c>
      <c r="M105" s="83">
        <f t="shared" si="1"/>
        <v>660</v>
      </c>
      <c r="N105" s="84">
        <v>380.0</v>
      </c>
      <c r="O105" s="84">
        <v>280.0</v>
      </c>
      <c r="P105" s="84"/>
      <c r="Q105" s="94">
        <v>15390.0</v>
      </c>
      <c r="R105" s="94">
        <v>4505.0</v>
      </c>
      <c r="S105" s="95" t="s">
        <v>786</v>
      </c>
      <c r="T105" s="94">
        <v>2.0</v>
      </c>
      <c r="U105" s="96">
        <v>38502.0</v>
      </c>
      <c r="V105" s="97" t="s">
        <v>813</v>
      </c>
      <c r="W105" s="97" t="s">
        <v>814</v>
      </c>
      <c r="X105" s="79" t="s">
        <v>815</v>
      </c>
      <c r="Y105" s="123"/>
      <c r="Z105" s="123"/>
      <c r="AA105" s="123"/>
      <c r="AB105" s="123"/>
      <c r="AC105" s="123"/>
      <c r="AD105" s="123"/>
      <c r="AE105" s="123"/>
      <c r="AF105" s="123"/>
      <c r="AG105" s="123"/>
      <c r="AH105" s="123"/>
      <c r="AI105" s="123"/>
      <c r="AJ105" s="123"/>
      <c r="AK105" s="123"/>
      <c r="AL105" s="123"/>
      <c r="AM105" s="123"/>
      <c r="AN105" s="123"/>
      <c r="AO105" s="123"/>
      <c r="AP105" s="123"/>
      <c r="AQ105" s="123"/>
      <c r="AR105" s="123"/>
    </row>
    <row r="106" ht="19.5" customHeight="1">
      <c r="A106" s="79">
        <v>95.0</v>
      </c>
      <c r="B106" s="95" t="s">
        <v>24</v>
      </c>
      <c r="C106" s="91" t="s">
        <v>808</v>
      </c>
      <c r="D106" s="112" t="s">
        <v>809</v>
      </c>
      <c r="E106" s="110" t="s">
        <v>816</v>
      </c>
      <c r="F106" s="112" t="s">
        <v>91</v>
      </c>
      <c r="G106" s="80" t="s">
        <v>48</v>
      </c>
      <c r="H106" s="80" t="s">
        <v>21</v>
      </c>
      <c r="I106" s="112" t="s">
        <v>811</v>
      </c>
      <c r="J106" s="109" t="s">
        <v>45</v>
      </c>
      <c r="K106" s="112" t="s">
        <v>794</v>
      </c>
      <c r="L106" s="110" t="s">
        <v>817</v>
      </c>
      <c r="M106" s="83">
        <f t="shared" si="1"/>
        <v>100</v>
      </c>
      <c r="N106" s="84"/>
      <c r="O106" s="84"/>
      <c r="P106" s="84">
        <v>100.0</v>
      </c>
      <c r="Q106" s="94">
        <v>27300.0</v>
      </c>
      <c r="R106" s="94">
        <v>212.0</v>
      </c>
      <c r="S106" s="95" t="s">
        <v>818</v>
      </c>
      <c r="T106" s="94">
        <v>1.0</v>
      </c>
      <c r="U106" s="96">
        <v>35595.0</v>
      </c>
      <c r="V106" s="97" t="s">
        <v>813</v>
      </c>
      <c r="W106" s="97" t="s">
        <v>814</v>
      </c>
      <c r="X106" s="79" t="s">
        <v>815</v>
      </c>
      <c r="Y106" s="99"/>
      <c r="Z106" s="99"/>
      <c r="AA106" s="99"/>
      <c r="AB106" s="99"/>
      <c r="AC106" s="99"/>
      <c r="AD106" s="99"/>
      <c r="AE106" s="99"/>
      <c r="AF106" s="99"/>
      <c r="AG106" s="99"/>
      <c r="AH106" s="99"/>
      <c r="AI106" s="99"/>
      <c r="AJ106" s="99"/>
      <c r="AK106" s="99"/>
      <c r="AL106" s="99"/>
      <c r="AM106" s="99"/>
      <c r="AN106" s="99"/>
      <c r="AO106" s="99"/>
      <c r="AP106" s="99"/>
      <c r="AQ106" s="99"/>
      <c r="AR106" s="99"/>
    </row>
    <row r="107" ht="19.5" customHeight="1">
      <c r="A107" s="79">
        <v>96.0</v>
      </c>
      <c r="B107" s="106" t="s">
        <v>24</v>
      </c>
      <c r="C107" s="91" t="s">
        <v>808</v>
      </c>
      <c r="D107" s="107" t="s">
        <v>819</v>
      </c>
      <c r="E107" s="110" t="s">
        <v>820</v>
      </c>
      <c r="F107" s="107" t="s">
        <v>91</v>
      </c>
      <c r="G107" s="80" t="s">
        <v>44</v>
      </c>
      <c r="H107" s="80" t="s">
        <v>21</v>
      </c>
      <c r="I107" s="107" t="s">
        <v>811</v>
      </c>
      <c r="J107" s="109" t="s">
        <v>45</v>
      </c>
      <c r="K107" s="107" t="s">
        <v>737</v>
      </c>
      <c r="L107" s="110" t="s">
        <v>821</v>
      </c>
      <c r="M107" s="83">
        <f t="shared" si="1"/>
        <v>80</v>
      </c>
      <c r="N107" s="84">
        <v>80.0</v>
      </c>
      <c r="O107" s="84"/>
      <c r="P107" s="84"/>
      <c r="Q107" s="94">
        <v>623.0</v>
      </c>
      <c r="R107" s="94">
        <v>830.0</v>
      </c>
      <c r="S107" s="95" t="s">
        <v>822</v>
      </c>
      <c r="T107" s="94">
        <v>1.0</v>
      </c>
      <c r="U107" s="96">
        <v>42297.0</v>
      </c>
      <c r="V107" s="97" t="s">
        <v>823</v>
      </c>
      <c r="W107" s="97" t="s">
        <v>824</v>
      </c>
      <c r="X107" s="79" t="s">
        <v>825</v>
      </c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  <c r="AQ107" s="88"/>
      <c r="AR107" s="88"/>
    </row>
    <row r="108" ht="19.5" customHeight="1">
      <c r="A108" s="79">
        <v>97.0</v>
      </c>
      <c r="B108" s="95" t="s">
        <v>24</v>
      </c>
      <c r="C108" s="91" t="s">
        <v>826</v>
      </c>
      <c r="D108" s="112" t="s">
        <v>827</v>
      </c>
      <c r="E108" s="110" t="s">
        <v>828</v>
      </c>
      <c r="F108" s="112" t="s">
        <v>81</v>
      </c>
      <c r="G108" s="80" t="s">
        <v>46</v>
      </c>
      <c r="H108" s="80" t="s">
        <v>21</v>
      </c>
      <c r="I108" s="112" t="s">
        <v>678</v>
      </c>
      <c r="J108" s="109" t="s">
        <v>43</v>
      </c>
      <c r="K108" s="112" t="s">
        <v>829</v>
      </c>
      <c r="L108" s="110" t="s">
        <v>830</v>
      </c>
      <c r="M108" s="83">
        <f t="shared" si="1"/>
        <v>390</v>
      </c>
      <c r="N108" s="84"/>
      <c r="O108" s="84">
        <v>310.0</v>
      </c>
      <c r="P108" s="84">
        <v>80.0</v>
      </c>
      <c r="Q108" s="94">
        <v>94030.0</v>
      </c>
      <c r="R108" s="94">
        <v>5515.0</v>
      </c>
      <c r="S108" s="95" t="s">
        <v>831</v>
      </c>
      <c r="T108" s="94">
        <v>30.0</v>
      </c>
      <c r="U108" s="96">
        <v>32606.0</v>
      </c>
      <c r="V108" s="97" t="s">
        <v>832</v>
      </c>
      <c r="W108" s="97" t="s">
        <v>833</v>
      </c>
      <c r="X108" s="79" t="s">
        <v>834</v>
      </c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99"/>
      <c r="AN108" s="99"/>
      <c r="AO108" s="99"/>
      <c r="AP108" s="99"/>
      <c r="AQ108" s="99"/>
      <c r="AR108" s="99"/>
    </row>
    <row r="109" ht="19.5" customHeight="1">
      <c r="A109" s="79">
        <v>98.0</v>
      </c>
      <c r="B109" s="106" t="s">
        <v>24</v>
      </c>
      <c r="C109" s="91" t="s">
        <v>826</v>
      </c>
      <c r="D109" s="107" t="s">
        <v>827</v>
      </c>
      <c r="E109" s="124" t="s">
        <v>835</v>
      </c>
      <c r="F109" s="107" t="s">
        <v>91</v>
      </c>
      <c r="G109" s="80" t="s">
        <v>44</v>
      </c>
      <c r="H109" s="80" t="s">
        <v>21</v>
      </c>
      <c r="I109" s="107" t="s">
        <v>836</v>
      </c>
      <c r="J109" s="107" t="s">
        <v>45</v>
      </c>
      <c r="K109" s="107" t="s">
        <v>837</v>
      </c>
      <c r="L109" s="108" t="s">
        <v>838</v>
      </c>
      <c r="M109" s="83">
        <f t="shared" si="1"/>
        <v>100</v>
      </c>
      <c r="N109" s="84">
        <v>100.0</v>
      </c>
      <c r="O109" s="84"/>
      <c r="P109" s="84"/>
      <c r="Q109" s="94">
        <v>9913.0</v>
      </c>
      <c r="R109" s="94">
        <v>996.52</v>
      </c>
      <c r="S109" s="95" t="s">
        <v>380</v>
      </c>
      <c r="T109" s="94">
        <v>1.0</v>
      </c>
      <c r="U109" s="96">
        <v>43634.0</v>
      </c>
      <c r="V109" s="97" t="s">
        <v>839</v>
      </c>
      <c r="W109" s="97" t="s">
        <v>840</v>
      </c>
      <c r="X109" s="125" t="s">
        <v>841</v>
      </c>
      <c r="Y109" s="99"/>
      <c r="Z109" s="99"/>
      <c r="AA109" s="99"/>
      <c r="AB109" s="99"/>
      <c r="AC109" s="99"/>
      <c r="AD109" s="99"/>
      <c r="AE109" s="99"/>
      <c r="AF109" s="99"/>
      <c r="AG109" s="99"/>
      <c r="AH109" s="99"/>
      <c r="AI109" s="99"/>
      <c r="AJ109" s="99"/>
      <c r="AK109" s="99"/>
      <c r="AL109" s="99"/>
      <c r="AM109" s="99"/>
      <c r="AN109" s="99"/>
      <c r="AO109" s="99"/>
      <c r="AP109" s="99"/>
      <c r="AQ109" s="99"/>
      <c r="AR109" s="99"/>
    </row>
    <row r="110" ht="19.5" customHeight="1">
      <c r="A110" s="79">
        <v>99.0</v>
      </c>
      <c r="B110" s="106" t="s">
        <v>24</v>
      </c>
      <c r="C110" s="91" t="s">
        <v>842</v>
      </c>
      <c r="D110" s="107" t="s">
        <v>843</v>
      </c>
      <c r="E110" s="124" t="s">
        <v>844</v>
      </c>
      <c r="F110" s="107" t="s">
        <v>81</v>
      </c>
      <c r="G110" s="80" t="s">
        <v>42</v>
      </c>
      <c r="H110" s="80" t="s">
        <v>21</v>
      </c>
      <c r="I110" s="107" t="s">
        <v>678</v>
      </c>
      <c r="J110" s="107" t="s">
        <v>45</v>
      </c>
      <c r="K110" s="107" t="s">
        <v>794</v>
      </c>
      <c r="L110" s="108" t="s">
        <v>845</v>
      </c>
      <c r="M110" s="83">
        <f t="shared" si="1"/>
        <v>730</v>
      </c>
      <c r="N110" s="84">
        <v>460.0</v>
      </c>
      <c r="O110" s="84">
        <v>270.0</v>
      </c>
      <c r="P110" s="84">
        <v>0.0</v>
      </c>
      <c r="Q110" s="94">
        <v>19237.0</v>
      </c>
      <c r="R110" s="94">
        <v>5967.0</v>
      </c>
      <c r="S110" s="95" t="s">
        <v>320</v>
      </c>
      <c r="T110" s="94">
        <v>3.0</v>
      </c>
      <c r="U110" s="96">
        <v>35304.0</v>
      </c>
      <c r="V110" s="97" t="s">
        <v>846</v>
      </c>
      <c r="W110" s="97" t="s">
        <v>847</v>
      </c>
      <c r="X110" s="79" t="s">
        <v>848</v>
      </c>
      <c r="Y110" s="99"/>
      <c r="Z110" s="99"/>
      <c r="AA110" s="99"/>
      <c r="AB110" s="99"/>
      <c r="AC110" s="99"/>
      <c r="AD110" s="99"/>
      <c r="AE110" s="99"/>
      <c r="AF110" s="99"/>
      <c r="AG110" s="99"/>
      <c r="AH110" s="99"/>
      <c r="AI110" s="99"/>
      <c r="AJ110" s="99"/>
      <c r="AK110" s="99"/>
      <c r="AL110" s="99"/>
      <c r="AM110" s="99"/>
      <c r="AN110" s="99"/>
      <c r="AO110" s="99"/>
      <c r="AP110" s="99"/>
      <c r="AQ110" s="99"/>
      <c r="AR110" s="99"/>
    </row>
    <row r="111" ht="19.5" customHeight="1">
      <c r="A111" s="79">
        <v>100.0</v>
      </c>
      <c r="B111" s="95" t="s">
        <v>24</v>
      </c>
      <c r="C111" s="91" t="s">
        <v>626</v>
      </c>
      <c r="D111" s="112" t="s">
        <v>849</v>
      </c>
      <c r="E111" s="110" t="s">
        <v>850</v>
      </c>
      <c r="F111" s="112" t="s">
        <v>91</v>
      </c>
      <c r="G111" s="80" t="s">
        <v>44</v>
      </c>
      <c r="H111" s="80" t="s">
        <v>21</v>
      </c>
      <c r="I111" s="112" t="s">
        <v>637</v>
      </c>
      <c r="J111" s="109" t="s">
        <v>45</v>
      </c>
      <c r="K111" s="107" t="s">
        <v>794</v>
      </c>
      <c r="L111" s="110" t="s">
        <v>851</v>
      </c>
      <c r="M111" s="83">
        <f t="shared" si="1"/>
        <v>75</v>
      </c>
      <c r="N111" s="84">
        <v>75.0</v>
      </c>
      <c r="O111" s="84"/>
      <c r="P111" s="84"/>
      <c r="Q111" s="94">
        <v>180.5</v>
      </c>
      <c r="R111" s="94">
        <v>494.49</v>
      </c>
      <c r="S111" s="95" t="s">
        <v>786</v>
      </c>
      <c r="T111" s="94">
        <v>1.0</v>
      </c>
      <c r="U111" s="96">
        <v>36690.0</v>
      </c>
      <c r="V111" s="97" t="s">
        <v>852</v>
      </c>
      <c r="W111" s="97" t="s">
        <v>853</v>
      </c>
      <c r="X111" s="79" t="s">
        <v>854</v>
      </c>
      <c r="Y111" s="126"/>
      <c r="Z111" s="126"/>
      <c r="AA111" s="126"/>
      <c r="AB111" s="126"/>
      <c r="AC111" s="126"/>
      <c r="AD111" s="126"/>
      <c r="AE111" s="126"/>
      <c r="AF111" s="126"/>
      <c r="AG111" s="126"/>
      <c r="AH111" s="126"/>
      <c r="AI111" s="126"/>
      <c r="AJ111" s="126"/>
      <c r="AK111" s="126"/>
      <c r="AL111" s="126"/>
      <c r="AM111" s="126"/>
      <c r="AN111" s="126"/>
      <c r="AO111" s="126"/>
      <c r="AP111" s="126"/>
      <c r="AQ111" s="126"/>
      <c r="AR111" s="126"/>
    </row>
    <row r="112" ht="19.5" customHeight="1">
      <c r="A112" s="79">
        <v>101.0</v>
      </c>
      <c r="B112" s="106" t="s">
        <v>24</v>
      </c>
      <c r="C112" s="91" t="s">
        <v>855</v>
      </c>
      <c r="D112" s="107" t="s">
        <v>856</v>
      </c>
      <c r="E112" s="110" t="s">
        <v>857</v>
      </c>
      <c r="F112" s="107" t="s">
        <v>91</v>
      </c>
      <c r="G112" s="80" t="s">
        <v>44</v>
      </c>
      <c r="H112" s="80" t="s">
        <v>21</v>
      </c>
      <c r="I112" s="107" t="s">
        <v>858</v>
      </c>
      <c r="J112" s="109" t="s">
        <v>43</v>
      </c>
      <c r="K112" s="107" t="s">
        <v>859</v>
      </c>
      <c r="L112" s="110" t="s">
        <v>860</v>
      </c>
      <c r="M112" s="83">
        <f t="shared" si="1"/>
        <v>100</v>
      </c>
      <c r="N112" s="84">
        <v>100.0</v>
      </c>
      <c r="O112" s="84"/>
      <c r="P112" s="84"/>
      <c r="Q112" s="94">
        <v>998.0</v>
      </c>
      <c r="R112" s="94">
        <v>754.34</v>
      </c>
      <c r="S112" s="95" t="s">
        <v>861</v>
      </c>
      <c r="T112" s="94">
        <v>1.0</v>
      </c>
      <c r="U112" s="96">
        <v>42429.0</v>
      </c>
      <c r="V112" s="97" t="s">
        <v>862</v>
      </c>
      <c r="W112" s="97" t="s">
        <v>863</v>
      </c>
      <c r="X112" s="79" t="s">
        <v>864</v>
      </c>
      <c r="Y112" s="98"/>
      <c r="Z112" s="98"/>
      <c r="AA112" s="98"/>
      <c r="AB112" s="98"/>
      <c r="AC112" s="98"/>
      <c r="AD112" s="98"/>
      <c r="AE112" s="98"/>
      <c r="AF112" s="98"/>
      <c r="AG112" s="98"/>
      <c r="AH112" s="98"/>
      <c r="AI112" s="98"/>
      <c r="AJ112" s="98"/>
      <c r="AK112" s="98"/>
      <c r="AL112" s="98"/>
      <c r="AM112" s="98"/>
      <c r="AN112" s="98"/>
      <c r="AO112" s="98"/>
      <c r="AP112" s="98"/>
      <c r="AQ112" s="98"/>
      <c r="AR112" s="98"/>
    </row>
    <row r="113" ht="19.5" customHeight="1">
      <c r="A113" s="79">
        <v>102.0</v>
      </c>
      <c r="B113" s="106" t="s">
        <v>24</v>
      </c>
      <c r="C113" s="91" t="s">
        <v>855</v>
      </c>
      <c r="D113" s="107" t="s">
        <v>865</v>
      </c>
      <c r="E113" s="110" t="s">
        <v>866</v>
      </c>
      <c r="F113" s="107" t="s">
        <v>22</v>
      </c>
      <c r="G113" s="80" t="s">
        <v>12</v>
      </c>
      <c r="H113" s="80" t="s">
        <v>22</v>
      </c>
      <c r="I113" s="107" t="s">
        <v>867</v>
      </c>
      <c r="J113" s="109" t="s">
        <v>43</v>
      </c>
      <c r="K113" s="107" t="s">
        <v>867</v>
      </c>
      <c r="L113" s="110" t="s">
        <v>868</v>
      </c>
      <c r="M113" s="83">
        <f t="shared" si="1"/>
        <v>446</v>
      </c>
      <c r="N113" s="84">
        <v>0.0</v>
      </c>
      <c r="O113" s="84">
        <v>446.0</v>
      </c>
      <c r="P113" s="84"/>
      <c r="Q113" s="94">
        <v>18885.0</v>
      </c>
      <c r="R113" s="94">
        <v>28504.0</v>
      </c>
      <c r="S113" s="95" t="s">
        <v>869</v>
      </c>
      <c r="T113" s="94">
        <v>1.0</v>
      </c>
      <c r="U113" s="96">
        <v>38182.0</v>
      </c>
      <c r="V113" s="97" t="s">
        <v>870</v>
      </c>
      <c r="W113" s="97" t="s">
        <v>871</v>
      </c>
      <c r="X113" s="79" t="s">
        <v>872</v>
      </c>
      <c r="Y113" s="126"/>
      <c r="Z113" s="126"/>
      <c r="AA113" s="126"/>
      <c r="AB113" s="126"/>
      <c r="AC113" s="126"/>
      <c r="AD113" s="126"/>
      <c r="AE113" s="126"/>
      <c r="AF113" s="126"/>
      <c r="AG113" s="126"/>
      <c r="AH113" s="126"/>
      <c r="AI113" s="126"/>
      <c r="AJ113" s="126"/>
      <c r="AK113" s="126"/>
      <c r="AL113" s="126"/>
      <c r="AM113" s="126"/>
      <c r="AN113" s="126"/>
      <c r="AO113" s="126"/>
      <c r="AP113" s="126"/>
      <c r="AQ113" s="126"/>
      <c r="AR113" s="126"/>
    </row>
    <row r="114" ht="19.5" customHeight="1">
      <c r="A114" s="79">
        <v>103.0</v>
      </c>
      <c r="B114" s="106" t="s">
        <v>24</v>
      </c>
      <c r="C114" s="91" t="s">
        <v>855</v>
      </c>
      <c r="D114" s="107" t="s">
        <v>873</v>
      </c>
      <c r="E114" s="110" t="s">
        <v>874</v>
      </c>
      <c r="F114" s="107" t="s">
        <v>91</v>
      </c>
      <c r="G114" s="80" t="s">
        <v>42</v>
      </c>
      <c r="H114" s="80" t="s">
        <v>21</v>
      </c>
      <c r="I114" s="107" t="s">
        <v>858</v>
      </c>
      <c r="J114" s="109" t="s">
        <v>45</v>
      </c>
      <c r="K114" s="107" t="s">
        <v>753</v>
      </c>
      <c r="L114" s="110" t="s">
        <v>875</v>
      </c>
      <c r="M114" s="83">
        <f t="shared" si="1"/>
        <v>500</v>
      </c>
      <c r="N114" s="84">
        <v>500.0</v>
      </c>
      <c r="O114" s="84"/>
      <c r="P114" s="84"/>
      <c r="Q114" s="94">
        <v>1982.7</v>
      </c>
      <c r="R114" s="94">
        <v>4089.31</v>
      </c>
      <c r="S114" s="95" t="s">
        <v>194</v>
      </c>
      <c r="T114" s="94">
        <v>1.0</v>
      </c>
      <c r="U114" s="96">
        <v>41234.0</v>
      </c>
      <c r="V114" s="97" t="s">
        <v>876</v>
      </c>
      <c r="W114" s="97" t="s">
        <v>877</v>
      </c>
      <c r="X114" s="79" t="s">
        <v>878</v>
      </c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8"/>
    </row>
    <row r="115" ht="19.5" customHeight="1">
      <c r="A115" s="79">
        <v>104.0</v>
      </c>
      <c r="B115" s="79" t="s">
        <v>25</v>
      </c>
      <c r="C115" s="91" t="s">
        <v>879</v>
      </c>
      <c r="D115" s="79" t="s">
        <v>880</v>
      </c>
      <c r="E115" s="127" t="s">
        <v>881</v>
      </c>
      <c r="F115" s="80" t="s">
        <v>687</v>
      </c>
      <c r="G115" s="80" t="s">
        <v>44</v>
      </c>
      <c r="H115" s="80" t="s">
        <v>21</v>
      </c>
      <c r="I115" s="80" t="s">
        <v>882</v>
      </c>
      <c r="J115" s="80" t="s">
        <v>43</v>
      </c>
      <c r="K115" s="80" t="s">
        <v>883</v>
      </c>
      <c r="L115" s="82" t="s">
        <v>884</v>
      </c>
      <c r="M115" s="83">
        <f t="shared" si="1"/>
        <v>100</v>
      </c>
      <c r="N115" s="84">
        <v>100.0</v>
      </c>
      <c r="O115" s="84">
        <v>0.0</v>
      </c>
      <c r="P115" s="84">
        <v>0.0</v>
      </c>
      <c r="Q115" s="94">
        <v>19904.0</v>
      </c>
      <c r="R115" s="94">
        <v>799.0</v>
      </c>
      <c r="S115" s="95" t="s">
        <v>885</v>
      </c>
      <c r="T115" s="94">
        <v>1.0</v>
      </c>
      <c r="U115" s="96">
        <v>39359.0</v>
      </c>
      <c r="V115" s="97" t="s">
        <v>886</v>
      </c>
      <c r="W115" s="97" t="s">
        <v>887</v>
      </c>
      <c r="X115" s="79" t="s">
        <v>888</v>
      </c>
      <c r="Y115" s="98"/>
      <c r="Z115" s="98"/>
      <c r="AA115" s="98"/>
      <c r="AB115" s="98"/>
      <c r="AC115" s="98"/>
      <c r="AD115" s="98"/>
      <c r="AE115" s="98"/>
      <c r="AF115" s="98"/>
      <c r="AG115" s="98"/>
      <c r="AH115" s="98"/>
      <c r="AI115" s="98"/>
      <c r="AJ115" s="98"/>
      <c r="AK115" s="98"/>
      <c r="AL115" s="98"/>
      <c r="AM115" s="98"/>
      <c r="AN115" s="98"/>
      <c r="AO115" s="98"/>
      <c r="AP115" s="98"/>
      <c r="AQ115" s="98"/>
      <c r="AR115" s="98"/>
    </row>
    <row r="116" ht="19.5" customHeight="1">
      <c r="A116" s="79">
        <v>105.0</v>
      </c>
      <c r="B116" s="79" t="s">
        <v>25</v>
      </c>
      <c r="C116" s="79" t="s">
        <v>879</v>
      </c>
      <c r="D116" s="79" t="s">
        <v>880</v>
      </c>
      <c r="E116" s="127" t="s">
        <v>889</v>
      </c>
      <c r="F116" s="80" t="s">
        <v>687</v>
      </c>
      <c r="G116" s="80" t="s">
        <v>46</v>
      </c>
      <c r="H116" s="80" t="s">
        <v>21</v>
      </c>
      <c r="I116" s="80" t="s">
        <v>882</v>
      </c>
      <c r="J116" s="80" t="s">
        <v>45</v>
      </c>
      <c r="K116" s="80" t="s">
        <v>890</v>
      </c>
      <c r="L116" s="82" t="s">
        <v>891</v>
      </c>
      <c r="M116" s="83">
        <f t="shared" si="1"/>
        <v>100</v>
      </c>
      <c r="N116" s="84">
        <v>0.0</v>
      </c>
      <c r="O116" s="84">
        <v>100.0</v>
      </c>
      <c r="P116" s="84">
        <v>0.0</v>
      </c>
      <c r="Q116" s="94">
        <v>9322.0</v>
      </c>
      <c r="R116" s="94">
        <v>1005.0</v>
      </c>
      <c r="S116" s="95" t="s">
        <v>350</v>
      </c>
      <c r="T116" s="94">
        <v>1.0</v>
      </c>
      <c r="U116" s="96">
        <v>43245.0</v>
      </c>
      <c r="V116" s="97" t="s">
        <v>892</v>
      </c>
      <c r="W116" s="97" t="s">
        <v>893</v>
      </c>
      <c r="X116" s="79" t="s">
        <v>894</v>
      </c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</row>
    <row r="117" ht="19.5" customHeight="1">
      <c r="A117" s="79">
        <v>106.0</v>
      </c>
      <c r="B117" s="79" t="s">
        <v>25</v>
      </c>
      <c r="C117" s="79" t="s">
        <v>708</v>
      </c>
      <c r="D117" s="79" t="s">
        <v>895</v>
      </c>
      <c r="E117" s="127" t="s">
        <v>896</v>
      </c>
      <c r="F117" s="80" t="s">
        <v>81</v>
      </c>
      <c r="G117" s="80" t="s">
        <v>44</v>
      </c>
      <c r="H117" s="80" t="s">
        <v>21</v>
      </c>
      <c r="I117" s="80" t="s">
        <v>897</v>
      </c>
      <c r="J117" s="80" t="s">
        <v>45</v>
      </c>
      <c r="K117" s="80" t="s">
        <v>898</v>
      </c>
      <c r="L117" s="82" t="s">
        <v>899</v>
      </c>
      <c r="M117" s="83">
        <f t="shared" si="1"/>
        <v>200</v>
      </c>
      <c r="N117" s="84">
        <v>200.0</v>
      </c>
      <c r="O117" s="84">
        <v>0.0</v>
      </c>
      <c r="P117" s="84">
        <v>0.0</v>
      </c>
      <c r="Q117" s="94">
        <v>1378.9</v>
      </c>
      <c r="R117" s="94">
        <v>5040.77</v>
      </c>
      <c r="S117" s="95" t="s">
        <v>652</v>
      </c>
      <c r="T117" s="94">
        <v>1.0</v>
      </c>
      <c r="U117" s="96">
        <v>37764.0</v>
      </c>
      <c r="V117" s="97" t="s">
        <v>900</v>
      </c>
      <c r="W117" s="97" t="s">
        <v>901</v>
      </c>
      <c r="X117" s="79" t="s">
        <v>902</v>
      </c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8"/>
    </row>
    <row r="118" ht="19.5" customHeight="1">
      <c r="A118" s="79">
        <v>107.0</v>
      </c>
      <c r="B118" s="79" t="s">
        <v>25</v>
      </c>
      <c r="C118" s="79" t="s">
        <v>708</v>
      </c>
      <c r="D118" s="79" t="s">
        <v>895</v>
      </c>
      <c r="E118" s="81" t="s">
        <v>903</v>
      </c>
      <c r="F118" s="80" t="s">
        <v>91</v>
      </c>
      <c r="G118" s="80" t="s">
        <v>49</v>
      </c>
      <c r="H118" s="80" t="s">
        <v>21</v>
      </c>
      <c r="I118" s="80" t="s">
        <v>904</v>
      </c>
      <c r="J118" s="80" t="s">
        <v>43</v>
      </c>
      <c r="K118" s="80" t="s">
        <v>905</v>
      </c>
      <c r="L118" s="82" t="s">
        <v>906</v>
      </c>
      <c r="M118" s="83">
        <f t="shared" si="1"/>
        <v>100</v>
      </c>
      <c r="N118" s="84">
        <v>100.0</v>
      </c>
      <c r="O118" s="84">
        <v>0.0</v>
      </c>
      <c r="P118" s="84">
        <v>0.0</v>
      </c>
      <c r="Q118" s="94">
        <v>596.0</v>
      </c>
      <c r="R118" s="94">
        <v>1143.0</v>
      </c>
      <c r="S118" s="95" t="s">
        <v>103</v>
      </c>
      <c r="T118" s="94">
        <v>1.0</v>
      </c>
      <c r="U118" s="96">
        <v>41855.0</v>
      </c>
      <c r="V118" s="97" t="s">
        <v>907</v>
      </c>
      <c r="W118" s="97" t="s">
        <v>908</v>
      </c>
      <c r="X118" s="79" t="s">
        <v>909</v>
      </c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</row>
    <row r="119" ht="19.5" customHeight="1">
      <c r="A119" s="79">
        <v>108.0</v>
      </c>
      <c r="B119" s="79" t="s">
        <v>25</v>
      </c>
      <c r="C119" s="79" t="s">
        <v>708</v>
      </c>
      <c r="D119" s="79" t="s">
        <v>910</v>
      </c>
      <c r="E119" s="81" t="s">
        <v>911</v>
      </c>
      <c r="F119" s="80" t="s">
        <v>81</v>
      </c>
      <c r="G119" s="80" t="s">
        <v>49</v>
      </c>
      <c r="H119" s="80" t="s">
        <v>21</v>
      </c>
      <c r="I119" s="80" t="s">
        <v>897</v>
      </c>
      <c r="J119" s="80" t="s">
        <v>45</v>
      </c>
      <c r="K119" s="80" t="s">
        <v>890</v>
      </c>
      <c r="L119" s="82" t="s">
        <v>912</v>
      </c>
      <c r="M119" s="83">
        <f t="shared" si="1"/>
        <v>100</v>
      </c>
      <c r="N119" s="84">
        <v>100.0</v>
      </c>
      <c r="O119" s="84">
        <v>0.0</v>
      </c>
      <c r="P119" s="84">
        <v>0.0</v>
      </c>
      <c r="Q119" s="94">
        <v>1253.0</v>
      </c>
      <c r="R119" s="94">
        <v>553.0</v>
      </c>
      <c r="S119" s="95" t="s">
        <v>103</v>
      </c>
      <c r="T119" s="94">
        <v>1.0</v>
      </c>
      <c r="U119" s="96">
        <v>43725.0</v>
      </c>
      <c r="V119" s="97" t="s">
        <v>913</v>
      </c>
      <c r="W119" s="97" t="s">
        <v>914</v>
      </c>
      <c r="X119" s="79" t="s">
        <v>915</v>
      </c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</row>
    <row r="120" ht="19.5" customHeight="1">
      <c r="A120" s="79">
        <v>109.0</v>
      </c>
      <c r="B120" s="79" t="s">
        <v>25</v>
      </c>
      <c r="C120" s="79" t="s">
        <v>916</v>
      </c>
      <c r="D120" s="79" t="s">
        <v>917</v>
      </c>
      <c r="E120" s="81" t="s">
        <v>918</v>
      </c>
      <c r="F120" s="80" t="s">
        <v>91</v>
      </c>
      <c r="G120" s="80" t="s">
        <v>42</v>
      </c>
      <c r="H120" s="80" t="s">
        <v>21</v>
      </c>
      <c r="I120" s="80" t="s">
        <v>919</v>
      </c>
      <c r="J120" s="80" t="s">
        <v>45</v>
      </c>
      <c r="K120" s="80" t="s">
        <v>920</v>
      </c>
      <c r="L120" s="82" t="s">
        <v>921</v>
      </c>
      <c r="M120" s="83">
        <f t="shared" si="1"/>
        <v>900</v>
      </c>
      <c r="N120" s="84">
        <v>900.0</v>
      </c>
      <c r="O120" s="84">
        <v>0.0</v>
      </c>
      <c r="P120" s="84">
        <v>0.0</v>
      </c>
      <c r="Q120" s="94">
        <v>6489.0</v>
      </c>
      <c r="R120" s="94">
        <v>4125.0</v>
      </c>
      <c r="S120" s="95" t="s">
        <v>724</v>
      </c>
      <c r="T120" s="94">
        <v>1.0</v>
      </c>
      <c r="U120" s="96">
        <v>36273.0</v>
      </c>
      <c r="V120" s="97" t="s">
        <v>922</v>
      </c>
      <c r="W120" s="97" t="s">
        <v>923</v>
      </c>
      <c r="X120" s="79" t="s">
        <v>924</v>
      </c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  <c r="AQ120" s="88"/>
      <c r="AR120" s="88"/>
    </row>
    <row r="121" ht="19.5" customHeight="1">
      <c r="A121" s="79">
        <v>110.0</v>
      </c>
      <c r="B121" s="79" t="s">
        <v>25</v>
      </c>
      <c r="C121" s="79" t="s">
        <v>916</v>
      </c>
      <c r="D121" s="79" t="s">
        <v>925</v>
      </c>
      <c r="E121" s="81" t="s">
        <v>926</v>
      </c>
      <c r="F121" s="80" t="s">
        <v>81</v>
      </c>
      <c r="G121" s="80" t="s">
        <v>46</v>
      </c>
      <c r="H121" s="80" t="s">
        <v>21</v>
      </c>
      <c r="I121" s="80" t="s">
        <v>897</v>
      </c>
      <c r="J121" s="80" t="s">
        <v>45</v>
      </c>
      <c r="K121" s="80" t="s">
        <v>890</v>
      </c>
      <c r="L121" s="82" t="s">
        <v>927</v>
      </c>
      <c r="M121" s="83">
        <f t="shared" si="1"/>
        <v>1100</v>
      </c>
      <c r="N121" s="84">
        <v>950.0</v>
      </c>
      <c r="O121" s="84">
        <v>150.0</v>
      </c>
      <c r="P121" s="84">
        <v>0.0</v>
      </c>
      <c r="Q121" s="94">
        <v>23550.0</v>
      </c>
      <c r="R121" s="94">
        <v>10124.23</v>
      </c>
      <c r="S121" s="95" t="s">
        <v>103</v>
      </c>
      <c r="T121" s="94">
        <v>3.0</v>
      </c>
      <c r="U121" s="96">
        <v>34677.0</v>
      </c>
      <c r="V121" s="97" t="s">
        <v>928</v>
      </c>
      <c r="W121" s="97" t="s">
        <v>929</v>
      </c>
      <c r="X121" s="79" t="s">
        <v>930</v>
      </c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</row>
    <row r="122" ht="19.5" customHeight="1">
      <c r="A122" s="79">
        <v>111.0</v>
      </c>
      <c r="B122" s="79" t="s">
        <v>25</v>
      </c>
      <c r="C122" s="79" t="s">
        <v>916</v>
      </c>
      <c r="D122" s="79" t="s">
        <v>931</v>
      </c>
      <c r="E122" s="81" t="s">
        <v>932</v>
      </c>
      <c r="F122" s="80" t="s">
        <v>91</v>
      </c>
      <c r="G122" s="80" t="s">
        <v>44</v>
      </c>
      <c r="H122" s="80" t="s">
        <v>21</v>
      </c>
      <c r="I122" s="80" t="s">
        <v>919</v>
      </c>
      <c r="J122" s="80" t="s">
        <v>45</v>
      </c>
      <c r="K122" s="80" t="s">
        <v>933</v>
      </c>
      <c r="L122" s="82" t="s">
        <v>934</v>
      </c>
      <c r="M122" s="83">
        <f t="shared" si="1"/>
        <v>190</v>
      </c>
      <c r="N122" s="84">
        <v>190.0</v>
      </c>
      <c r="O122" s="84">
        <v>0.0</v>
      </c>
      <c r="P122" s="84">
        <v>0.0</v>
      </c>
      <c r="Q122" s="94">
        <v>1899.2</v>
      </c>
      <c r="R122" s="94">
        <v>1548.81</v>
      </c>
      <c r="S122" s="95" t="s">
        <v>935</v>
      </c>
      <c r="T122" s="94">
        <v>1.0</v>
      </c>
      <c r="U122" s="96">
        <v>44888.0</v>
      </c>
      <c r="V122" s="97" t="s">
        <v>936</v>
      </c>
      <c r="W122" s="97" t="s">
        <v>937</v>
      </c>
      <c r="X122" s="79" t="s">
        <v>938</v>
      </c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</row>
    <row r="123" ht="19.5" customHeight="1">
      <c r="A123" s="79">
        <v>112.0</v>
      </c>
      <c r="B123" s="79" t="s">
        <v>25</v>
      </c>
      <c r="C123" s="79" t="s">
        <v>939</v>
      </c>
      <c r="D123" s="79" t="s">
        <v>940</v>
      </c>
      <c r="E123" s="81" t="s">
        <v>941</v>
      </c>
      <c r="F123" s="80" t="s">
        <v>687</v>
      </c>
      <c r="G123" s="80" t="s">
        <v>42</v>
      </c>
      <c r="H123" s="80" t="s">
        <v>21</v>
      </c>
      <c r="I123" s="80" t="s">
        <v>942</v>
      </c>
      <c r="J123" s="80" t="s">
        <v>47</v>
      </c>
      <c r="K123" s="80" t="s">
        <v>943</v>
      </c>
      <c r="L123" s="82" t="s">
        <v>944</v>
      </c>
      <c r="M123" s="83">
        <f t="shared" si="1"/>
        <v>500</v>
      </c>
      <c r="N123" s="84">
        <v>500.0</v>
      </c>
      <c r="O123" s="84">
        <v>0.0</v>
      </c>
      <c r="P123" s="84">
        <v>0.0</v>
      </c>
      <c r="Q123" s="94">
        <v>9917.0</v>
      </c>
      <c r="R123" s="94">
        <v>3806.0</v>
      </c>
      <c r="S123" s="95" t="s">
        <v>103</v>
      </c>
      <c r="T123" s="94">
        <v>2.0</v>
      </c>
      <c r="U123" s="96">
        <v>39806.0</v>
      </c>
      <c r="V123" s="97" t="s">
        <v>945</v>
      </c>
      <c r="W123" s="97" t="s">
        <v>946</v>
      </c>
      <c r="X123" s="79" t="s">
        <v>947</v>
      </c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</row>
    <row r="124" ht="19.5" customHeight="1">
      <c r="A124" s="79">
        <v>113.0</v>
      </c>
      <c r="B124" s="79" t="s">
        <v>25</v>
      </c>
      <c r="C124" s="79" t="s">
        <v>939</v>
      </c>
      <c r="D124" s="79" t="s">
        <v>948</v>
      </c>
      <c r="E124" s="81" t="s">
        <v>949</v>
      </c>
      <c r="F124" s="80" t="s">
        <v>687</v>
      </c>
      <c r="G124" s="80" t="s">
        <v>44</v>
      </c>
      <c r="H124" s="80" t="s">
        <v>21</v>
      </c>
      <c r="I124" s="80" t="s">
        <v>942</v>
      </c>
      <c r="J124" s="80" t="s">
        <v>47</v>
      </c>
      <c r="K124" s="80" t="s">
        <v>943</v>
      </c>
      <c r="L124" s="82" t="s">
        <v>950</v>
      </c>
      <c r="M124" s="83">
        <f t="shared" si="1"/>
        <v>100</v>
      </c>
      <c r="N124" s="84">
        <v>100.0</v>
      </c>
      <c r="O124" s="84">
        <v>0.0</v>
      </c>
      <c r="P124" s="84">
        <v>0.0</v>
      </c>
      <c r="Q124" s="94">
        <v>625.0</v>
      </c>
      <c r="R124" s="94">
        <v>1130.0</v>
      </c>
      <c r="S124" s="95" t="s">
        <v>194</v>
      </c>
      <c r="T124" s="94">
        <v>1.0</v>
      </c>
      <c r="U124" s="96">
        <v>41205.0</v>
      </c>
      <c r="V124" s="97" t="s">
        <v>951</v>
      </c>
      <c r="W124" s="97" t="s">
        <v>952</v>
      </c>
      <c r="X124" s="79" t="s">
        <v>953</v>
      </c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</row>
    <row r="125" ht="19.5" customHeight="1">
      <c r="A125" s="79">
        <v>114.0</v>
      </c>
      <c r="B125" s="79" t="s">
        <v>25</v>
      </c>
      <c r="C125" s="79" t="s">
        <v>939</v>
      </c>
      <c r="D125" s="79" t="s">
        <v>954</v>
      </c>
      <c r="E125" s="81" t="s">
        <v>955</v>
      </c>
      <c r="F125" s="80" t="s">
        <v>687</v>
      </c>
      <c r="G125" s="80" t="s">
        <v>12</v>
      </c>
      <c r="H125" s="80" t="s">
        <v>21</v>
      </c>
      <c r="I125" s="80" t="s">
        <v>942</v>
      </c>
      <c r="J125" s="80" t="s">
        <v>47</v>
      </c>
      <c r="K125" s="80" t="s">
        <v>956</v>
      </c>
      <c r="L125" s="82" t="s">
        <v>957</v>
      </c>
      <c r="M125" s="83">
        <f t="shared" si="1"/>
        <v>304</v>
      </c>
      <c r="N125" s="84">
        <v>0.0</v>
      </c>
      <c r="O125" s="84">
        <v>304.0</v>
      </c>
      <c r="P125" s="84">
        <v>0.0</v>
      </c>
      <c r="Q125" s="94">
        <v>6766.0</v>
      </c>
      <c r="R125" s="94" t="s">
        <v>958</v>
      </c>
      <c r="S125" s="95" t="s">
        <v>85</v>
      </c>
      <c r="T125" s="94">
        <v>2.0</v>
      </c>
      <c r="U125" s="96">
        <v>43000.0</v>
      </c>
      <c r="V125" s="97" t="s">
        <v>959</v>
      </c>
      <c r="W125" s="97" t="s">
        <v>960</v>
      </c>
      <c r="X125" s="79" t="s">
        <v>961</v>
      </c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</row>
    <row r="126" ht="19.5" customHeight="1">
      <c r="A126" s="79">
        <v>115.0</v>
      </c>
      <c r="B126" s="79" t="s">
        <v>25</v>
      </c>
      <c r="C126" s="79" t="s">
        <v>962</v>
      </c>
      <c r="D126" s="79" t="s">
        <v>963</v>
      </c>
      <c r="E126" s="81" t="s">
        <v>964</v>
      </c>
      <c r="F126" s="80" t="s">
        <v>91</v>
      </c>
      <c r="G126" s="80" t="s">
        <v>44</v>
      </c>
      <c r="H126" s="80" t="s">
        <v>21</v>
      </c>
      <c r="I126" s="80" t="s">
        <v>965</v>
      </c>
      <c r="J126" s="80" t="s">
        <v>45</v>
      </c>
      <c r="K126" s="80" t="s">
        <v>966</v>
      </c>
      <c r="L126" s="82" t="s">
        <v>967</v>
      </c>
      <c r="M126" s="83">
        <f t="shared" si="1"/>
        <v>78</v>
      </c>
      <c r="N126" s="84">
        <v>78.0</v>
      </c>
      <c r="O126" s="84">
        <v>0.0</v>
      </c>
      <c r="P126" s="84">
        <v>0.0</v>
      </c>
      <c r="Q126" s="94">
        <v>9247.0</v>
      </c>
      <c r="R126" s="94">
        <v>603.0</v>
      </c>
      <c r="S126" s="95" t="s">
        <v>291</v>
      </c>
      <c r="T126" s="94">
        <v>1.0</v>
      </c>
      <c r="U126" s="96">
        <v>36892.0</v>
      </c>
      <c r="V126" s="97" t="s">
        <v>968</v>
      </c>
      <c r="W126" s="97" t="s">
        <v>969</v>
      </c>
      <c r="X126" s="79" t="s">
        <v>970</v>
      </c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</row>
    <row r="127" ht="19.5" customHeight="1">
      <c r="A127" s="79">
        <v>116.0</v>
      </c>
      <c r="B127" s="79" t="s">
        <v>25</v>
      </c>
      <c r="C127" s="79" t="s">
        <v>962</v>
      </c>
      <c r="D127" s="79" t="s">
        <v>971</v>
      </c>
      <c r="E127" s="81" t="s">
        <v>972</v>
      </c>
      <c r="F127" s="80" t="s">
        <v>91</v>
      </c>
      <c r="G127" s="80" t="s">
        <v>44</v>
      </c>
      <c r="H127" s="80" t="s">
        <v>21</v>
      </c>
      <c r="I127" s="80" t="s">
        <v>965</v>
      </c>
      <c r="J127" s="80" t="s">
        <v>45</v>
      </c>
      <c r="K127" s="80" t="s">
        <v>973</v>
      </c>
      <c r="L127" s="82" t="s">
        <v>974</v>
      </c>
      <c r="M127" s="83">
        <f t="shared" si="1"/>
        <v>367</v>
      </c>
      <c r="N127" s="84">
        <v>367.0</v>
      </c>
      <c r="O127" s="84">
        <v>0.0</v>
      </c>
      <c r="P127" s="84">
        <v>0.0</v>
      </c>
      <c r="Q127" s="94">
        <v>1300.0</v>
      </c>
      <c r="R127" s="94">
        <v>2950.21</v>
      </c>
      <c r="S127" s="95" t="s">
        <v>373</v>
      </c>
      <c r="T127" s="94">
        <v>1.0</v>
      </c>
      <c r="U127" s="96">
        <v>43823.0</v>
      </c>
      <c r="V127" s="97" t="s">
        <v>975</v>
      </c>
      <c r="W127" s="97" t="s">
        <v>976</v>
      </c>
      <c r="X127" s="79" t="s">
        <v>977</v>
      </c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</row>
    <row r="128" ht="19.5" customHeight="1">
      <c r="A128" s="79">
        <v>117.0</v>
      </c>
      <c r="B128" s="79" t="s">
        <v>25</v>
      </c>
      <c r="C128" s="79" t="s">
        <v>962</v>
      </c>
      <c r="D128" s="79" t="s">
        <v>978</v>
      </c>
      <c r="E128" s="81" t="s">
        <v>979</v>
      </c>
      <c r="F128" s="80" t="s">
        <v>22</v>
      </c>
      <c r="G128" s="80" t="s">
        <v>12</v>
      </c>
      <c r="H128" s="80" t="s">
        <v>22</v>
      </c>
      <c r="I128" s="80" t="s">
        <v>980</v>
      </c>
      <c r="J128" s="80" t="s">
        <v>43</v>
      </c>
      <c r="K128" s="80" t="s">
        <v>981</v>
      </c>
      <c r="L128" s="82" t="s">
        <v>982</v>
      </c>
      <c r="M128" s="83">
        <f t="shared" si="1"/>
        <v>500</v>
      </c>
      <c r="N128" s="84">
        <v>300.0</v>
      </c>
      <c r="O128" s="84">
        <v>200.0</v>
      </c>
      <c r="P128" s="84">
        <v>0.0</v>
      </c>
      <c r="Q128" s="94">
        <v>4934.0</v>
      </c>
      <c r="R128" s="94">
        <v>4581.0</v>
      </c>
      <c r="S128" s="95" t="s">
        <v>85</v>
      </c>
      <c r="T128" s="94">
        <v>1.0</v>
      </c>
      <c r="U128" s="96">
        <v>39244.0</v>
      </c>
      <c r="V128" s="97" t="s">
        <v>983</v>
      </c>
      <c r="W128" s="97" t="s">
        <v>984</v>
      </c>
      <c r="X128" s="79" t="s">
        <v>985</v>
      </c>
      <c r="Y128" s="103"/>
      <c r="Z128" s="103"/>
      <c r="AA128" s="103"/>
      <c r="AB128" s="103"/>
      <c r="AC128" s="103"/>
      <c r="AD128" s="103"/>
      <c r="AE128" s="103"/>
      <c r="AF128" s="103"/>
      <c r="AG128" s="103"/>
      <c r="AH128" s="103"/>
      <c r="AI128" s="103"/>
      <c r="AJ128" s="103"/>
      <c r="AK128" s="103"/>
      <c r="AL128" s="103"/>
      <c r="AM128" s="103"/>
      <c r="AN128" s="103"/>
      <c r="AO128" s="103"/>
      <c r="AP128" s="103"/>
      <c r="AQ128" s="103"/>
      <c r="AR128" s="103"/>
    </row>
    <row r="129" ht="19.5" customHeight="1">
      <c r="A129" s="79">
        <v>118.0</v>
      </c>
      <c r="B129" s="79" t="s">
        <v>25</v>
      </c>
      <c r="C129" s="79" t="s">
        <v>765</v>
      </c>
      <c r="D129" s="79" t="s">
        <v>986</v>
      </c>
      <c r="E129" s="81" t="s">
        <v>987</v>
      </c>
      <c r="F129" s="80" t="s">
        <v>91</v>
      </c>
      <c r="G129" s="80" t="s">
        <v>42</v>
      </c>
      <c r="H129" s="80" t="s">
        <v>21</v>
      </c>
      <c r="I129" s="80" t="s">
        <v>775</v>
      </c>
      <c r="J129" s="80" t="s">
        <v>45</v>
      </c>
      <c r="K129" s="80" t="s">
        <v>988</v>
      </c>
      <c r="L129" s="82" t="s">
        <v>989</v>
      </c>
      <c r="M129" s="83">
        <f t="shared" si="1"/>
        <v>1000</v>
      </c>
      <c r="N129" s="84">
        <v>1000.0</v>
      </c>
      <c r="O129" s="84">
        <v>0.0</v>
      </c>
      <c r="P129" s="84">
        <v>0.0</v>
      </c>
      <c r="Q129" s="94">
        <v>9250.0</v>
      </c>
      <c r="R129" s="94">
        <v>4553.0</v>
      </c>
      <c r="S129" s="95" t="s">
        <v>85</v>
      </c>
      <c r="T129" s="94">
        <v>1.0</v>
      </c>
      <c r="U129" s="96">
        <v>36936.0</v>
      </c>
      <c r="V129" s="97" t="s">
        <v>990</v>
      </c>
      <c r="W129" s="97" t="s">
        <v>991</v>
      </c>
      <c r="X129" s="79" t="s">
        <v>992</v>
      </c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</row>
    <row r="130" ht="19.5" customHeight="1">
      <c r="A130" s="79">
        <v>119.0</v>
      </c>
      <c r="B130" s="79" t="s">
        <v>25</v>
      </c>
      <c r="C130" s="79" t="s">
        <v>765</v>
      </c>
      <c r="D130" s="79" t="s">
        <v>993</v>
      </c>
      <c r="E130" s="81" t="s">
        <v>994</v>
      </c>
      <c r="F130" s="80" t="s">
        <v>91</v>
      </c>
      <c r="G130" s="80" t="s">
        <v>44</v>
      </c>
      <c r="H130" s="80" t="s">
        <v>21</v>
      </c>
      <c r="I130" s="80" t="s">
        <v>775</v>
      </c>
      <c r="J130" s="80" t="s">
        <v>45</v>
      </c>
      <c r="K130" s="80" t="s">
        <v>988</v>
      </c>
      <c r="L130" s="82" t="s">
        <v>995</v>
      </c>
      <c r="M130" s="83">
        <f t="shared" si="1"/>
        <v>200</v>
      </c>
      <c r="N130" s="84">
        <v>200.0</v>
      </c>
      <c r="O130" s="84">
        <v>0.0</v>
      </c>
      <c r="P130" s="84">
        <v>0.0</v>
      </c>
      <c r="Q130" s="94">
        <v>1666.0</v>
      </c>
      <c r="R130" s="94">
        <v>2979.0</v>
      </c>
      <c r="S130" s="95" t="s">
        <v>373</v>
      </c>
      <c r="T130" s="94">
        <v>1.0</v>
      </c>
      <c r="U130" s="96">
        <v>44229.0</v>
      </c>
      <c r="V130" s="97" t="s">
        <v>996</v>
      </c>
      <c r="W130" s="97" t="s">
        <v>997</v>
      </c>
      <c r="X130" s="79" t="s">
        <v>998</v>
      </c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</row>
    <row r="131" ht="19.5" customHeight="1">
      <c r="A131" s="79">
        <v>120.0</v>
      </c>
      <c r="B131" s="79" t="s">
        <v>25</v>
      </c>
      <c r="C131" s="79" t="s">
        <v>808</v>
      </c>
      <c r="D131" s="79" t="s">
        <v>999</v>
      </c>
      <c r="E131" s="81" t="s">
        <v>1000</v>
      </c>
      <c r="F131" s="80" t="s">
        <v>91</v>
      </c>
      <c r="G131" s="80" t="s">
        <v>42</v>
      </c>
      <c r="H131" s="80" t="s">
        <v>21</v>
      </c>
      <c r="I131" s="80" t="s">
        <v>811</v>
      </c>
      <c r="J131" s="80" t="s">
        <v>45</v>
      </c>
      <c r="K131" s="80" t="s">
        <v>1001</v>
      </c>
      <c r="L131" s="82" t="s">
        <v>1002</v>
      </c>
      <c r="M131" s="83">
        <f t="shared" si="1"/>
        <v>350</v>
      </c>
      <c r="N131" s="84">
        <v>350.0</v>
      </c>
      <c r="O131" s="84">
        <v>0.0</v>
      </c>
      <c r="P131" s="84">
        <v>0.0</v>
      </c>
      <c r="Q131" s="94">
        <v>5600.0</v>
      </c>
      <c r="R131" s="94">
        <v>3962.0</v>
      </c>
      <c r="S131" s="95" t="s">
        <v>1003</v>
      </c>
      <c r="T131" s="94">
        <v>1.0</v>
      </c>
      <c r="U131" s="96">
        <v>37239.0</v>
      </c>
      <c r="V131" s="97" t="s">
        <v>1004</v>
      </c>
      <c r="W131" s="97" t="s">
        <v>1005</v>
      </c>
      <c r="X131" s="79" t="s">
        <v>1006</v>
      </c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</row>
    <row r="132" ht="19.5" customHeight="1">
      <c r="A132" s="79">
        <v>121.0</v>
      </c>
      <c r="B132" s="79" t="s">
        <v>25</v>
      </c>
      <c r="C132" s="79" t="s">
        <v>808</v>
      </c>
      <c r="D132" s="79" t="s">
        <v>1007</v>
      </c>
      <c r="E132" s="81" t="s">
        <v>1008</v>
      </c>
      <c r="F132" s="80" t="s">
        <v>81</v>
      </c>
      <c r="G132" s="80" t="s">
        <v>44</v>
      </c>
      <c r="H132" s="80" t="s">
        <v>21</v>
      </c>
      <c r="I132" s="80" t="s">
        <v>897</v>
      </c>
      <c r="J132" s="80" t="s">
        <v>45</v>
      </c>
      <c r="K132" s="80" t="s">
        <v>898</v>
      </c>
      <c r="L132" s="82" t="s">
        <v>1009</v>
      </c>
      <c r="M132" s="83">
        <f t="shared" si="1"/>
        <v>300</v>
      </c>
      <c r="N132" s="84">
        <v>300.0</v>
      </c>
      <c r="O132" s="84">
        <v>0.0</v>
      </c>
      <c r="P132" s="84">
        <v>0.0</v>
      </c>
      <c r="Q132" s="94">
        <v>1587.2</v>
      </c>
      <c r="R132" s="94">
        <v>3973.2468</v>
      </c>
      <c r="S132" s="95" t="s">
        <v>1010</v>
      </c>
      <c r="T132" s="94">
        <v>1.0</v>
      </c>
      <c r="U132" s="96">
        <v>43487.0</v>
      </c>
      <c r="V132" s="97" t="s">
        <v>1011</v>
      </c>
      <c r="W132" s="97" t="s">
        <v>1012</v>
      </c>
      <c r="X132" s="79" t="s">
        <v>1013</v>
      </c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</row>
    <row r="133" ht="19.5" customHeight="1">
      <c r="A133" s="79">
        <v>122.0</v>
      </c>
      <c r="B133" s="79" t="s">
        <v>25</v>
      </c>
      <c r="C133" s="79" t="s">
        <v>1014</v>
      </c>
      <c r="D133" s="79" t="s">
        <v>1015</v>
      </c>
      <c r="E133" s="81" t="s">
        <v>1016</v>
      </c>
      <c r="F133" s="80" t="s">
        <v>91</v>
      </c>
      <c r="G133" s="80" t="s">
        <v>42</v>
      </c>
      <c r="H133" s="80" t="s">
        <v>21</v>
      </c>
      <c r="I133" s="80" t="s">
        <v>1017</v>
      </c>
      <c r="J133" s="80" t="s">
        <v>45</v>
      </c>
      <c r="K133" s="80" t="s">
        <v>1018</v>
      </c>
      <c r="L133" s="82" t="s">
        <v>1019</v>
      </c>
      <c r="M133" s="83">
        <f t="shared" si="1"/>
        <v>430</v>
      </c>
      <c r="N133" s="84">
        <v>430.0</v>
      </c>
      <c r="O133" s="84">
        <v>0.0</v>
      </c>
      <c r="P133" s="84">
        <v>0.0</v>
      </c>
      <c r="Q133" s="94">
        <v>14136.0</v>
      </c>
      <c r="R133" s="94">
        <v>3168.0</v>
      </c>
      <c r="S133" s="95" t="s">
        <v>1020</v>
      </c>
      <c r="T133" s="94">
        <v>4.0</v>
      </c>
      <c r="U133" s="96">
        <v>35186.0</v>
      </c>
      <c r="V133" s="97" t="s">
        <v>1021</v>
      </c>
      <c r="W133" s="97" t="s">
        <v>1022</v>
      </c>
      <c r="X133" s="79" t="s">
        <v>1023</v>
      </c>
      <c r="Y133" s="98"/>
      <c r="Z133" s="98"/>
      <c r="AA133" s="98"/>
      <c r="AB133" s="98"/>
      <c r="AC133" s="98"/>
      <c r="AD133" s="98"/>
      <c r="AE133" s="98"/>
      <c r="AF133" s="98"/>
      <c r="AG133" s="98"/>
      <c r="AH133" s="98"/>
      <c r="AI133" s="98"/>
      <c r="AJ133" s="98"/>
      <c r="AK133" s="98"/>
      <c r="AL133" s="98"/>
      <c r="AM133" s="98"/>
      <c r="AN133" s="98"/>
      <c r="AO133" s="98"/>
      <c r="AP133" s="98"/>
      <c r="AQ133" s="98"/>
      <c r="AR133" s="98"/>
    </row>
    <row r="134" ht="19.5" customHeight="1">
      <c r="A134" s="79">
        <v>123.0</v>
      </c>
      <c r="B134" s="79" t="s">
        <v>25</v>
      </c>
      <c r="C134" s="79" t="s">
        <v>1014</v>
      </c>
      <c r="D134" s="79" t="s">
        <v>1024</v>
      </c>
      <c r="E134" s="81" t="s">
        <v>1025</v>
      </c>
      <c r="F134" s="80" t="s">
        <v>91</v>
      </c>
      <c r="G134" s="80" t="s">
        <v>46</v>
      </c>
      <c r="H134" s="80" t="s">
        <v>21</v>
      </c>
      <c r="I134" s="80" t="s">
        <v>1017</v>
      </c>
      <c r="J134" s="80" t="s">
        <v>45</v>
      </c>
      <c r="K134" s="80" t="s">
        <v>1018</v>
      </c>
      <c r="L134" s="82" t="s">
        <v>1026</v>
      </c>
      <c r="M134" s="83">
        <f t="shared" si="1"/>
        <v>312</v>
      </c>
      <c r="N134" s="84">
        <v>260.0</v>
      </c>
      <c r="O134" s="84">
        <v>52.0</v>
      </c>
      <c r="P134" s="84">
        <v>0.0</v>
      </c>
      <c r="Q134" s="94">
        <v>13671.0</v>
      </c>
      <c r="R134" s="94">
        <v>1461.0</v>
      </c>
      <c r="S134" s="95" t="s">
        <v>291</v>
      </c>
      <c r="T134" s="94">
        <v>1.0</v>
      </c>
      <c r="U134" s="96">
        <v>41324.0</v>
      </c>
      <c r="V134" s="97" t="s">
        <v>1027</v>
      </c>
      <c r="W134" s="97" t="s">
        <v>1028</v>
      </c>
      <c r="X134" s="79" t="s">
        <v>1029</v>
      </c>
      <c r="Y134" s="103"/>
      <c r="Z134" s="103"/>
      <c r="AA134" s="103"/>
      <c r="AB134" s="103"/>
      <c r="AC134" s="103"/>
      <c r="AD134" s="103"/>
      <c r="AE134" s="103"/>
      <c r="AF134" s="103"/>
      <c r="AG134" s="103"/>
      <c r="AH134" s="103"/>
      <c r="AI134" s="103"/>
      <c r="AJ134" s="103"/>
      <c r="AK134" s="103"/>
      <c r="AL134" s="103"/>
      <c r="AM134" s="103"/>
      <c r="AN134" s="103"/>
      <c r="AO134" s="103"/>
      <c r="AP134" s="103"/>
      <c r="AQ134" s="103"/>
      <c r="AR134" s="103"/>
    </row>
    <row r="135" ht="19.5" customHeight="1">
      <c r="A135" s="79">
        <v>124.0</v>
      </c>
      <c r="B135" s="79" t="s">
        <v>25</v>
      </c>
      <c r="C135" s="79" t="s">
        <v>1014</v>
      </c>
      <c r="D135" s="79" t="s">
        <v>1030</v>
      </c>
      <c r="E135" s="81" t="s">
        <v>1031</v>
      </c>
      <c r="F135" s="80" t="s">
        <v>91</v>
      </c>
      <c r="G135" s="80" t="s">
        <v>44</v>
      </c>
      <c r="H135" s="80" t="s">
        <v>21</v>
      </c>
      <c r="I135" s="80" t="s">
        <v>1017</v>
      </c>
      <c r="J135" s="80" t="s">
        <v>45</v>
      </c>
      <c r="K135" s="80" t="s">
        <v>1032</v>
      </c>
      <c r="L135" s="82" t="s">
        <v>1033</v>
      </c>
      <c r="M135" s="83">
        <f t="shared" si="1"/>
        <v>200</v>
      </c>
      <c r="N135" s="84">
        <v>200.0</v>
      </c>
      <c r="O135" s="84">
        <v>0.0</v>
      </c>
      <c r="P135" s="84">
        <v>0.0</v>
      </c>
      <c r="Q135" s="94">
        <v>1101.0</v>
      </c>
      <c r="R135" s="94">
        <v>1911.0</v>
      </c>
      <c r="S135" s="95" t="s">
        <v>373</v>
      </c>
      <c r="T135" s="94">
        <v>1.0</v>
      </c>
      <c r="U135" s="96">
        <v>44246.0</v>
      </c>
      <c r="V135" s="97" t="s">
        <v>1034</v>
      </c>
      <c r="W135" s="97" t="s">
        <v>1035</v>
      </c>
      <c r="X135" s="79" t="s">
        <v>1036</v>
      </c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</row>
    <row r="136" ht="19.5" customHeight="1">
      <c r="A136" s="79">
        <v>125.0</v>
      </c>
      <c r="B136" s="79" t="s">
        <v>25</v>
      </c>
      <c r="C136" s="79" t="s">
        <v>626</v>
      </c>
      <c r="D136" s="79" t="s">
        <v>1037</v>
      </c>
      <c r="E136" s="81" t="s">
        <v>850</v>
      </c>
      <c r="F136" s="80" t="s">
        <v>91</v>
      </c>
      <c r="G136" s="80" t="s">
        <v>44</v>
      </c>
      <c r="H136" s="80" t="s">
        <v>21</v>
      </c>
      <c r="I136" s="80" t="s">
        <v>637</v>
      </c>
      <c r="J136" s="80" t="s">
        <v>43</v>
      </c>
      <c r="K136" s="80" t="s">
        <v>1038</v>
      </c>
      <c r="L136" s="82" t="s">
        <v>1039</v>
      </c>
      <c r="M136" s="83">
        <f t="shared" si="1"/>
        <v>80</v>
      </c>
      <c r="N136" s="84">
        <v>80.0</v>
      </c>
      <c r="O136" s="84">
        <v>0.0</v>
      </c>
      <c r="P136" s="84">
        <v>0.0</v>
      </c>
      <c r="Q136" s="94">
        <v>311.0</v>
      </c>
      <c r="R136" s="94">
        <v>482.0</v>
      </c>
      <c r="S136" s="95" t="s">
        <v>697</v>
      </c>
      <c r="T136" s="94">
        <v>1.0</v>
      </c>
      <c r="U136" s="96">
        <v>37294.0</v>
      </c>
      <c r="V136" s="97" t="s">
        <v>1040</v>
      </c>
      <c r="W136" s="97" t="s">
        <v>1041</v>
      </c>
      <c r="X136" s="79" t="s">
        <v>1042</v>
      </c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</row>
    <row r="137" ht="19.5" customHeight="1">
      <c r="A137" s="79">
        <v>126.0</v>
      </c>
      <c r="B137" s="91" t="s">
        <v>26</v>
      </c>
      <c r="C137" s="91" t="s">
        <v>1043</v>
      </c>
      <c r="D137" s="91" t="s">
        <v>1044</v>
      </c>
      <c r="E137" s="92" t="s">
        <v>1045</v>
      </c>
      <c r="F137" s="91" t="s">
        <v>687</v>
      </c>
      <c r="G137" s="80" t="s">
        <v>42</v>
      </c>
      <c r="H137" s="80" t="s">
        <v>21</v>
      </c>
      <c r="I137" s="91" t="s">
        <v>1046</v>
      </c>
      <c r="J137" s="80" t="s">
        <v>45</v>
      </c>
      <c r="K137" s="91" t="s">
        <v>1047</v>
      </c>
      <c r="L137" s="82" t="s">
        <v>1048</v>
      </c>
      <c r="M137" s="83">
        <f t="shared" si="1"/>
        <v>300</v>
      </c>
      <c r="N137" s="84">
        <v>300.0</v>
      </c>
      <c r="O137" s="84">
        <v>0.0</v>
      </c>
      <c r="P137" s="84">
        <v>0.0</v>
      </c>
      <c r="Q137" s="94">
        <v>6773.0</v>
      </c>
      <c r="R137" s="94">
        <v>3336.45</v>
      </c>
      <c r="S137" s="95" t="s">
        <v>103</v>
      </c>
      <c r="T137" s="94">
        <v>1.0</v>
      </c>
      <c r="U137" s="96">
        <v>37594.0</v>
      </c>
      <c r="V137" s="97" t="s">
        <v>1049</v>
      </c>
      <c r="W137" s="97" t="s">
        <v>1050</v>
      </c>
      <c r="X137" s="79" t="s">
        <v>1051</v>
      </c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</row>
    <row r="138" ht="19.5" customHeight="1">
      <c r="A138" s="79">
        <v>127.0</v>
      </c>
      <c r="B138" s="91" t="s">
        <v>26</v>
      </c>
      <c r="C138" s="91" t="s">
        <v>1043</v>
      </c>
      <c r="D138" s="91" t="s">
        <v>1044</v>
      </c>
      <c r="E138" s="92" t="s">
        <v>1052</v>
      </c>
      <c r="F138" s="91" t="s">
        <v>687</v>
      </c>
      <c r="G138" s="80" t="s">
        <v>44</v>
      </c>
      <c r="H138" s="80" t="s">
        <v>21</v>
      </c>
      <c r="I138" s="91" t="s">
        <v>1046</v>
      </c>
      <c r="J138" s="80" t="s">
        <v>45</v>
      </c>
      <c r="K138" s="91" t="s">
        <v>1047</v>
      </c>
      <c r="L138" s="82" t="s">
        <v>1053</v>
      </c>
      <c r="M138" s="83">
        <f t="shared" si="1"/>
        <v>200</v>
      </c>
      <c r="N138" s="84">
        <v>200.0</v>
      </c>
      <c r="O138" s="84">
        <v>0.0</v>
      </c>
      <c r="P138" s="84">
        <v>0.0</v>
      </c>
      <c r="Q138" s="94">
        <v>10081.0</v>
      </c>
      <c r="R138" s="94">
        <v>1706.0</v>
      </c>
      <c r="S138" s="95" t="s">
        <v>314</v>
      </c>
      <c r="T138" s="94">
        <v>1.0</v>
      </c>
      <c r="U138" s="96">
        <v>39406.0</v>
      </c>
      <c r="V138" s="97" t="s">
        <v>1054</v>
      </c>
      <c r="W138" s="97" t="s">
        <v>1050</v>
      </c>
      <c r="X138" s="79" t="s">
        <v>1051</v>
      </c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</row>
    <row r="139" ht="19.5" customHeight="1">
      <c r="A139" s="79">
        <v>128.0</v>
      </c>
      <c r="B139" s="128" t="s">
        <v>26</v>
      </c>
      <c r="C139" s="128" t="s">
        <v>1043</v>
      </c>
      <c r="D139" s="128" t="s">
        <v>1055</v>
      </c>
      <c r="E139" s="129" t="s">
        <v>1056</v>
      </c>
      <c r="F139" s="128" t="s">
        <v>22</v>
      </c>
      <c r="G139" s="80" t="s">
        <v>46</v>
      </c>
      <c r="H139" s="80" t="s">
        <v>22</v>
      </c>
      <c r="I139" s="91" t="s">
        <v>1057</v>
      </c>
      <c r="J139" s="80" t="s">
        <v>43</v>
      </c>
      <c r="K139" s="91" t="s">
        <v>1057</v>
      </c>
      <c r="L139" s="82" t="s">
        <v>1058</v>
      </c>
      <c r="M139" s="83">
        <f t="shared" si="1"/>
        <v>465</v>
      </c>
      <c r="N139" s="84"/>
      <c r="O139" s="84">
        <v>465.0</v>
      </c>
      <c r="P139" s="84">
        <v>0.0</v>
      </c>
      <c r="Q139" s="94">
        <v>25480.0</v>
      </c>
      <c r="R139" s="94">
        <v>5792.87</v>
      </c>
      <c r="S139" s="95" t="s">
        <v>194</v>
      </c>
      <c r="T139" s="94">
        <v>5.0</v>
      </c>
      <c r="U139" s="96">
        <v>38511.0</v>
      </c>
      <c r="V139" s="97" t="s">
        <v>1059</v>
      </c>
      <c r="W139" s="97" t="s">
        <v>1060</v>
      </c>
      <c r="X139" s="79" t="s">
        <v>1061</v>
      </c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</row>
    <row r="140" ht="19.5" customHeight="1">
      <c r="A140" s="79">
        <v>129.0</v>
      </c>
      <c r="B140" s="128" t="s">
        <v>26</v>
      </c>
      <c r="C140" s="128" t="s">
        <v>1043</v>
      </c>
      <c r="D140" s="128" t="s">
        <v>1062</v>
      </c>
      <c r="E140" s="129" t="s">
        <v>1063</v>
      </c>
      <c r="F140" s="128" t="s">
        <v>22</v>
      </c>
      <c r="G140" s="80" t="s">
        <v>12</v>
      </c>
      <c r="H140" s="80" t="s">
        <v>22</v>
      </c>
      <c r="I140" s="91" t="s">
        <v>1064</v>
      </c>
      <c r="J140" s="80" t="s">
        <v>43</v>
      </c>
      <c r="K140" s="91" t="s">
        <v>1065</v>
      </c>
      <c r="L140" s="82" t="s">
        <v>1066</v>
      </c>
      <c r="M140" s="83">
        <f t="shared" si="1"/>
        <v>840</v>
      </c>
      <c r="N140" s="84">
        <v>0.0</v>
      </c>
      <c r="O140" s="84">
        <v>840.0</v>
      </c>
      <c r="P140" s="84">
        <v>0.0</v>
      </c>
      <c r="Q140" s="94">
        <v>23153.0</v>
      </c>
      <c r="R140" s="94">
        <v>9442.0</v>
      </c>
      <c r="S140" s="95" t="s">
        <v>194</v>
      </c>
      <c r="T140" s="94">
        <v>3.0</v>
      </c>
      <c r="U140" s="96">
        <v>39559.0</v>
      </c>
      <c r="V140" s="97" t="s">
        <v>1067</v>
      </c>
      <c r="W140" s="97" t="s">
        <v>1068</v>
      </c>
      <c r="X140" s="79" t="s">
        <v>1069</v>
      </c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</row>
    <row r="141" ht="19.5" customHeight="1">
      <c r="A141" s="79">
        <v>130.0</v>
      </c>
      <c r="B141" s="128" t="s">
        <v>26</v>
      </c>
      <c r="C141" s="128" t="s">
        <v>1043</v>
      </c>
      <c r="D141" s="128" t="s">
        <v>1070</v>
      </c>
      <c r="E141" s="129" t="s">
        <v>1071</v>
      </c>
      <c r="F141" s="128" t="s">
        <v>22</v>
      </c>
      <c r="G141" s="80" t="s">
        <v>46</v>
      </c>
      <c r="H141" s="80" t="s">
        <v>22</v>
      </c>
      <c r="I141" s="91" t="s">
        <v>1072</v>
      </c>
      <c r="J141" s="80" t="s">
        <v>43</v>
      </c>
      <c r="K141" s="91" t="s">
        <v>1073</v>
      </c>
      <c r="L141" s="82" t="s">
        <v>1074</v>
      </c>
      <c r="M141" s="83">
        <f t="shared" si="1"/>
        <v>416</v>
      </c>
      <c r="N141" s="84">
        <v>0.0</v>
      </c>
      <c r="O141" s="84">
        <v>416.0</v>
      </c>
      <c r="P141" s="84">
        <v>0.0</v>
      </c>
      <c r="Q141" s="94">
        <v>17663.0</v>
      </c>
      <c r="R141" s="94">
        <v>8529.35</v>
      </c>
      <c r="S141" s="95" t="s">
        <v>1075</v>
      </c>
      <c r="T141" s="94">
        <v>2.0</v>
      </c>
      <c r="U141" s="96">
        <v>40620.0</v>
      </c>
      <c r="V141" s="97" t="s">
        <v>1076</v>
      </c>
      <c r="W141" s="97" t="s">
        <v>1077</v>
      </c>
      <c r="X141" s="79" t="s">
        <v>1078</v>
      </c>
      <c r="Y141" s="98"/>
      <c r="Z141" s="98"/>
      <c r="AA141" s="98"/>
      <c r="AB141" s="98"/>
      <c r="AC141" s="98"/>
      <c r="AD141" s="98"/>
      <c r="AE141" s="98"/>
      <c r="AF141" s="98"/>
      <c r="AG141" s="98"/>
      <c r="AH141" s="98"/>
      <c r="AI141" s="98"/>
      <c r="AJ141" s="98"/>
      <c r="AK141" s="98"/>
      <c r="AL141" s="98"/>
      <c r="AM141" s="98"/>
      <c r="AN141" s="98"/>
      <c r="AO141" s="98"/>
      <c r="AP141" s="98"/>
      <c r="AQ141" s="98"/>
      <c r="AR141" s="98"/>
    </row>
    <row r="142" ht="19.5" customHeight="1">
      <c r="A142" s="79">
        <v>131.0</v>
      </c>
      <c r="B142" s="91" t="s">
        <v>26</v>
      </c>
      <c r="C142" s="91" t="s">
        <v>1079</v>
      </c>
      <c r="D142" s="91" t="s">
        <v>1080</v>
      </c>
      <c r="E142" s="92" t="s">
        <v>1081</v>
      </c>
      <c r="F142" s="91" t="s">
        <v>91</v>
      </c>
      <c r="G142" s="80" t="s">
        <v>42</v>
      </c>
      <c r="H142" s="80" t="s">
        <v>21</v>
      </c>
      <c r="I142" s="91" t="s">
        <v>1082</v>
      </c>
      <c r="J142" s="80" t="s">
        <v>47</v>
      </c>
      <c r="K142" s="91" t="s">
        <v>1083</v>
      </c>
      <c r="L142" s="82" t="s">
        <v>1084</v>
      </c>
      <c r="M142" s="83">
        <f t="shared" si="1"/>
        <v>300</v>
      </c>
      <c r="N142" s="84">
        <v>300.0</v>
      </c>
      <c r="O142" s="84">
        <v>0.0</v>
      </c>
      <c r="P142" s="84">
        <v>0.0</v>
      </c>
      <c r="Q142" s="94">
        <v>1654.0</v>
      </c>
      <c r="R142" s="94">
        <v>3760.0</v>
      </c>
      <c r="S142" s="95" t="s">
        <v>194</v>
      </c>
      <c r="T142" s="94">
        <v>1.0</v>
      </c>
      <c r="U142" s="96">
        <v>36511.0</v>
      </c>
      <c r="V142" s="97" t="s">
        <v>1085</v>
      </c>
      <c r="W142" s="97" t="s">
        <v>1086</v>
      </c>
      <c r="X142" s="79" t="s">
        <v>1087</v>
      </c>
      <c r="Y142" s="98"/>
      <c r="Z142" s="98"/>
      <c r="AA142" s="98"/>
      <c r="AB142" s="98"/>
      <c r="AC142" s="98"/>
      <c r="AD142" s="98"/>
      <c r="AE142" s="98"/>
      <c r="AF142" s="98"/>
      <c r="AG142" s="98"/>
      <c r="AH142" s="98"/>
      <c r="AI142" s="98"/>
      <c r="AJ142" s="98"/>
      <c r="AK142" s="98"/>
      <c r="AL142" s="98"/>
      <c r="AM142" s="98"/>
      <c r="AN142" s="98"/>
      <c r="AO142" s="98"/>
      <c r="AP142" s="98"/>
      <c r="AQ142" s="98"/>
      <c r="AR142" s="98"/>
    </row>
    <row r="143" ht="19.5" customHeight="1">
      <c r="A143" s="79">
        <v>132.0</v>
      </c>
      <c r="B143" s="91" t="s">
        <v>26</v>
      </c>
      <c r="C143" s="91" t="s">
        <v>1079</v>
      </c>
      <c r="D143" s="91" t="s">
        <v>1088</v>
      </c>
      <c r="E143" s="92" t="s">
        <v>1089</v>
      </c>
      <c r="F143" s="91" t="s">
        <v>91</v>
      </c>
      <c r="G143" s="80" t="s">
        <v>44</v>
      </c>
      <c r="H143" s="80" t="s">
        <v>21</v>
      </c>
      <c r="I143" s="91" t="s">
        <v>1082</v>
      </c>
      <c r="J143" s="80" t="s">
        <v>47</v>
      </c>
      <c r="K143" s="79" t="s">
        <v>1083</v>
      </c>
      <c r="L143" s="93" t="s">
        <v>1090</v>
      </c>
      <c r="M143" s="83">
        <f t="shared" si="1"/>
        <v>150</v>
      </c>
      <c r="N143" s="84">
        <v>150.0</v>
      </c>
      <c r="O143" s="84">
        <v>0.0</v>
      </c>
      <c r="P143" s="84">
        <v>0.0</v>
      </c>
      <c r="Q143" s="94">
        <v>1865.0</v>
      </c>
      <c r="R143" s="94">
        <v>3958.22</v>
      </c>
      <c r="S143" s="95" t="s">
        <v>194</v>
      </c>
      <c r="T143" s="94">
        <v>1.0</v>
      </c>
      <c r="U143" s="96">
        <v>44900.0</v>
      </c>
      <c r="V143" s="97" t="s">
        <v>1091</v>
      </c>
      <c r="W143" s="97" t="s">
        <v>1092</v>
      </c>
      <c r="X143" s="79" t="s">
        <v>1093</v>
      </c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</row>
    <row r="144" ht="19.5" customHeight="1">
      <c r="A144" s="79">
        <v>133.0</v>
      </c>
      <c r="B144" s="91" t="s">
        <v>26</v>
      </c>
      <c r="C144" s="91" t="s">
        <v>1094</v>
      </c>
      <c r="D144" s="91" t="s">
        <v>1095</v>
      </c>
      <c r="E144" s="92" t="s">
        <v>1096</v>
      </c>
      <c r="F144" s="91" t="s">
        <v>81</v>
      </c>
      <c r="G144" s="80" t="s">
        <v>42</v>
      </c>
      <c r="H144" s="80" t="s">
        <v>21</v>
      </c>
      <c r="I144" s="91" t="s">
        <v>1097</v>
      </c>
      <c r="J144" s="80" t="s">
        <v>47</v>
      </c>
      <c r="K144" s="79" t="s">
        <v>1098</v>
      </c>
      <c r="L144" s="93" t="s">
        <v>1099</v>
      </c>
      <c r="M144" s="83">
        <f t="shared" si="1"/>
        <v>980</v>
      </c>
      <c r="N144" s="84">
        <v>872.0</v>
      </c>
      <c r="O144" s="84">
        <v>108.0</v>
      </c>
      <c r="P144" s="84"/>
      <c r="Q144" s="94">
        <v>29479.0</v>
      </c>
      <c r="R144" s="94">
        <v>10701.0</v>
      </c>
      <c r="S144" s="95" t="s">
        <v>103</v>
      </c>
      <c r="T144" s="94">
        <v>3.0</v>
      </c>
      <c r="U144" s="96">
        <v>39965.0</v>
      </c>
      <c r="V144" s="97" t="s">
        <v>1100</v>
      </c>
      <c r="W144" s="97" t="s">
        <v>1101</v>
      </c>
      <c r="X144" s="79" t="s">
        <v>1102</v>
      </c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</row>
    <row r="145" ht="19.5" customHeight="1">
      <c r="A145" s="79">
        <v>134.0</v>
      </c>
      <c r="B145" s="91" t="s">
        <v>26</v>
      </c>
      <c r="C145" s="91" t="s">
        <v>1094</v>
      </c>
      <c r="D145" s="91" t="s">
        <v>1103</v>
      </c>
      <c r="E145" s="92" t="s">
        <v>1104</v>
      </c>
      <c r="F145" s="91" t="s">
        <v>91</v>
      </c>
      <c r="G145" s="80" t="s">
        <v>44</v>
      </c>
      <c r="H145" s="80" t="s">
        <v>21</v>
      </c>
      <c r="I145" s="91" t="s">
        <v>1105</v>
      </c>
      <c r="J145" s="80" t="s">
        <v>43</v>
      </c>
      <c r="K145" s="91" t="s">
        <v>1094</v>
      </c>
      <c r="L145" s="82" t="s">
        <v>1106</v>
      </c>
      <c r="M145" s="83">
        <f t="shared" si="1"/>
        <v>185</v>
      </c>
      <c r="N145" s="84">
        <v>185.0</v>
      </c>
      <c r="O145" s="84"/>
      <c r="P145" s="84"/>
      <c r="Q145" s="94">
        <v>539.4</v>
      </c>
      <c r="R145" s="94">
        <v>1322.0</v>
      </c>
      <c r="S145" s="95" t="s">
        <v>194</v>
      </c>
      <c r="T145" s="94">
        <v>1.0</v>
      </c>
      <c r="U145" s="96">
        <v>42500.0</v>
      </c>
      <c r="V145" s="97" t="s">
        <v>1107</v>
      </c>
      <c r="W145" s="97" t="s">
        <v>1108</v>
      </c>
      <c r="X145" s="79" t="s">
        <v>1109</v>
      </c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</row>
    <row r="146" ht="19.5" customHeight="1">
      <c r="A146" s="79">
        <v>135.0</v>
      </c>
      <c r="B146" s="91" t="s">
        <v>26</v>
      </c>
      <c r="C146" s="91" t="s">
        <v>962</v>
      </c>
      <c r="D146" s="91" t="s">
        <v>1110</v>
      </c>
      <c r="E146" s="92" t="s">
        <v>1111</v>
      </c>
      <c r="F146" s="91" t="s">
        <v>91</v>
      </c>
      <c r="G146" s="80" t="s">
        <v>42</v>
      </c>
      <c r="H146" s="80" t="s">
        <v>21</v>
      </c>
      <c r="I146" s="91" t="s">
        <v>1112</v>
      </c>
      <c r="J146" s="80" t="s">
        <v>45</v>
      </c>
      <c r="K146" s="91" t="s">
        <v>1113</v>
      </c>
      <c r="L146" s="82" t="s">
        <v>1114</v>
      </c>
      <c r="M146" s="83">
        <f t="shared" si="1"/>
        <v>400</v>
      </c>
      <c r="N146" s="84">
        <v>400.0</v>
      </c>
      <c r="O146" s="84">
        <v>0.0</v>
      </c>
      <c r="P146" s="84">
        <v>0.0</v>
      </c>
      <c r="Q146" s="94">
        <v>1183.5</v>
      </c>
      <c r="R146" s="94">
        <v>5195.0</v>
      </c>
      <c r="S146" s="95" t="s">
        <v>250</v>
      </c>
      <c r="T146" s="94">
        <v>1.0</v>
      </c>
      <c r="U146" s="96">
        <v>38433.0</v>
      </c>
      <c r="V146" s="97" t="s">
        <v>1115</v>
      </c>
      <c r="W146" s="97" t="s">
        <v>1116</v>
      </c>
      <c r="X146" s="79" t="s">
        <v>1117</v>
      </c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</row>
    <row r="147" ht="19.5" customHeight="1">
      <c r="A147" s="79">
        <v>136.0</v>
      </c>
      <c r="B147" s="91" t="s">
        <v>26</v>
      </c>
      <c r="C147" s="91" t="s">
        <v>1118</v>
      </c>
      <c r="D147" s="91" t="s">
        <v>1119</v>
      </c>
      <c r="E147" s="92" t="s">
        <v>1120</v>
      </c>
      <c r="F147" s="91" t="s">
        <v>91</v>
      </c>
      <c r="G147" s="80" t="s">
        <v>42</v>
      </c>
      <c r="H147" s="80" t="s">
        <v>21</v>
      </c>
      <c r="I147" s="91" t="s">
        <v>1121</v>
      </c>
      <c r="J147" s="80" t="s">
        <v>45</v>
      </c>
      <c r="K147" s="91" t="s">
        <v>1113</v>
      </c>
      <c r="L147" s="82" t="s">
        <v>1122</v>
      </c>
      <c r="M147" s="83">
        <f t="shared" si="1"/>
        <v>418</v>
      </c>
      <c r="N147" s="84">
        <v>418.0</v>
      </c>
      <c r="O147" s="84">
        <v>0.0</v>
      </c>
      <c r="P147" s="84">
        <v>0.0</v>
      </c>
      <c r="Q147" s="94">
        <v>9457.3</v>
      </c>
      <c r="R147" s="94">
        <v>3808.0</v>
      </c>
      <c r="S147" s="95" t="s">
        <v>1123</v>
      </c>
      <c r="T147" s="94">
        <v>2.0</v>
      </c>
      <c r="U147" s="96">
        <v>33725.0</v>
      </c>
      <c r="V147" s="97" t="s">
        <v>1124</v>
      </c>
      <c r="W147" s="97" t="s">
        <v>1125</v>
      </c>
      <c r="X147" s="79" t="s">
        <v>1126</v>
      </c>
      <c r="Y147" s="98"/>
      <c r="Z147" s="98"/>
      <c r="AA147" s="98"/>
      <c r="AB147" s="98"/>
      <c r="AC147" s="98"/>
      <c r="AD147" s="98"/>
      <c r="AE147" s="98"/>
      <c r="AF147" s="98"/>
      <c r="AG147" s="98"/>
      <c r="AH147" s="98"/>
      <c r="AI147" s="98"/>
      <c r="AJ147" s="98"/>
      <c r="AK147" s="98"/>
      <c r="AL147" s="98"/>
      <c r="AM147" s="98"/>
      <c r="AN147" s="98"/>
      <c r="AO147" s="98"/>
      <c r="AP147" s="98"/>
      <c r="AQ147" s="98"/>
      <c r="AR147" s="98"/>
    </row>
    <row r="148" ht="19.5" customHeight="1">
      <c r="A148" s="79">
        <v>137.0</v>
      </c>
      <c r="B148" s="79" t="s">
        <v>26</v>
      </c>
      <c r="C148" s="91" t="s">
        <v>1127</v>
      </c>
      <c r="D148" s="79" t="s">
        <v>1128</v>
      </c>
      <c r="E148" s="102" t="s">
        <v>1129</v>
      </c>
      <c r="F148" s="79" t="s">
        <v>91</v>
      </c>
      <c r="G148" s="80" t="s">
        <v>42</v>
      </c>
      <c r="H148" s="80" t="s">
        <v>21</v>
      </c>
      <c r="I148" s="79" t="s">
        <v>1130</v>
      </c>
      <c r="J148" s="80" t="s">
        <v>45</v>
      </c>
      <c r="K148" s="79" t="s">
        <v>1131</v>
      </c>
      <c r="L148" s="93" t="s">
        <v>1132</v>
      </c>
      <c r="M148" s="83">
        <f t="shared" si="1"/>
        <v>579</v>
      </c>
      <c r="N148" s="84">
        <v>579.0</v>
      </c>
      <c r="O148" s="84">
        <v>0.0</v>
      </c>
      <c r="P148" s="84">
        <v>0.0</v>
      </c>
      <c r="Q148" s="94">
        <v>2991.0</v>
      </c>
      <c r="R148" s="94">
        <v>4987.0</v>
      </c>
      <c r="S148" s="95" t="s">
        <v>112</v>
      </c>
      <c r="T148" s="94">
        <v>1.0</v>
      </c>
      <c r="U148" s="96">
        <v>40879.0</v>
      </c>
      <c r="V148" s="97" t="s">
        <v>1133</v>
      </c>
      <c r="W148" s="97" t="s">
        <v>1134</v>
      </c>
      <c r="X148" s="79" t="s">
        <v>1135</v>
      </c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</row>
    <row r="149" ht="19.5" customHeight="1">
      <c r="A149" s="79">
        <v>138.0</v>
      </c>
      <c r="B149" s="79" t="s">
        <v>26</v>
      </c>
      <c r="C149" s="91" t="s">
        <v>1127</v>
      </c>
      <c r="D149" s="79" t="s">
        <v>1136</v>
      </c>
      <c r="E149" s="102" t="s">
        <v>1137</v>
      </c>
      <c r="F149" s="79" t="s">
        <v>91</v>
      </c>
      <c r="G149" s="80" t="s">
        <v>44</v>
      </c>
      <c r="H149" s="80" t="s">
        <v>21</v>
      </c>
      <c r="I149" s="79" t="s">
        <v>1130</v>
      </c>
      <c r="J149" s="80" t="s">
        <v>45</v>
      </c>
      <c r="K149" s="79" t="s">
        <v>1131</v>
      </c>
      <c r="L149" s="93" t="s">
        <v>1138</v>
      </c>
      <c r="M149" s="83">
        <f t="shared" si="1"/>
        <v>282</v>
      </c>
      <c r="N149" s="84">
        <v>282.0</v>
      </c>
      <c r="O149" s="84">
        <v>0.0</v>
      </c>
      <c r="P149" s="84">
        <v>0.0</v>
      </c>
      <c r="Q149" s="94">
        <v>2318.7</v>
      </c>
      <c r="R149" s="94">
        <v>5198.92</v>
      </c>
      <c r="S149" s="95" t="s">
        <v>265</v>
      </c>
      <c r="T149" s="94">
        <v>1.0</v>
      </c>
      <c r="U149" s="96">
        <v>45364.0</v>
      </c>
      <c r="V149" s="97" t="s">
        <v>1139</v>
      </c>
      <c r="W149" s="97" t="s">
        <v>1140</v>
      </c>
      <c r="X149" s="79" t="s">
        <v>1141</v>
      </c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</row>
    <row r="150" ht="19.5" customHeight="1">
      <c r="A150" s="79">
        <v>139.0</v>
      </c>
      <c r="B150" s="91" t="s">
        <v>26</v>
      </c>
      <c r="C150" s="91" t="s">
        <v>808</v>
      </c>
      <c r="D150" s="91" t="s">
        <v>1142</v>
      </c>
      <c r="E150" s="92" t="s">
        <v>1143</v>
      </c>
      <c r="F150" s="91" t="s">
        <v>91</v>
      </c>
      <c r="G150" s="80" t="s">
        <v>42</v>
      </c>
      <c r="H150" s="80" t="s">
        <v>21</v>
      </c>
      <c r="I150" s="91" t="s">
        <v>811</v>
      </c>
      <c r="J150" s="80" t="s">
        <v>47</v>
      </c>
      <c r="K150" s="91" t="s">
        <v>1144</v>
      </c>
      <c r="L150" s="82" t="s">
        <v>1145</v>
      </c>
      <c r="M150" s="83">
        <f t="shared" si="1"/>
        <v>498</v>
      </c>
      <c r="N150" s="84">
        <v>498.0</v>
      </c>
      <c r="O150" s="84">
        <v>0.0</v>
      </c>
      <c r="P150" s="84">
        <v>0.0</v>
      </c>
      <c r="Q150" s="94">
        <v>9921.0</v>
      </c>
      <c r="R150" s="94">
        <v>5506.0</v>
      </c>
      <c r="S150" s="95" t="s">
        <v>85</v>
      </c>
      <c r="T150" s="94">
        <v>1.0</v>
      </c>
      <c r="U150" s="96">
        <v>38785.0</v>
      </c>
      <c r="V150" s="97" t="s">
        <v>1146</v>
      </c>
      <c r="W150" s="97" t="s">
        <v>1147</v>
      </c>
      <c r="X150" s="79" t="s">
        <v>1148</v>
      </c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</row>
    <row r="151" ht="19.5" customHeight="1">
      <c r="A151" s="79">
        <v>140.0</v>
      </c>
      <c r="B151" s="91" t="s">
        <v>26</v>
      </c>
      <c r="C151" s="91" t="s">
        <v>808</v>
      </c>
      <c r="D151" s="91" t="s">
        <v>392</v>
      </c>
      <c r="E151" s="92" t="s">
        <v>1149</v>
      </c>
      <c r="F151" s="91" t="s">
        <v>91</v>
      </c>
      <c r="G151" s="80" t="s">
        <v>44</v>
      </c>
      <c r="H151" s="80" t="s">
        <v>21</v>
      </c>
      <c r="I151" s="91" t="s">
        <v>811</v>
      </c>
      <c r="J151" s="80" t="s">
        <v>47</v>
      </c>
      <c r="K151" s="91" t="s">
        <v>1144</v>
      </c>
      <c r="L151" s="82" t="s">
        <v>1150</v>
      </c>
      <c r="M151" s="83">
        <f t="shared" si="1"/>
        <v>213</v>
      </c>
      <c r="N151" s="84">
        <v>213.0</v>
      </c>
      <c r="O151" s="84">
        <v>0.0</v>
      </c>
      <c r="P151" s="84">
        <v>0.0</v>
      </c>
      <c r="Q151" s="94">
        <v>1310.8</v>
      </c>
      <c r="R151" s="94">
        <v>1546.29</v>
      </c>
      <c r="S151" s="95" t="s">
        <v>1151</v>
      </c>
      <c r="T151" s="94">
        <v>1.0</v>
      </c>
      <c r="U151" s="96">
        <v>36512.0</v>
      </c>
      <c r="V151" s="97" t="s">
        <v>1152</v>
      </c>
      <c r="W151" s="97" t="s">
        <v>1153</v>
      </c>
      <c r="X151" s="79" t="s">
        <v>1148</v>
      </c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</row>
    <row r="152" ht="19.5" customHeight="1">
      <c r="A152" s="79">
        <v>141.0</v>
      </c>
      <c r="B152" s="91" t="s">
        <v>26</v>
      </c>
      <c r="C152" s="91" t="s">
        <v>808</v>
      </c>
      <c r="D152" s="91" t="s">
        <v>1154</v>
      </c>
      <c r="E152" s="92" t="s">
        <v>1155</v>
      </c>
      <c r="F152" s="91" t="s">
        <v>91</v>
      </c>
      <c r="G152" s="80" t="s">
        <v>44</v>
      </c>
      <c r="H152" s="80" t="s">
        <v>21</v>
      </c>
      <c r="I152" s="91" t="s">
        <v>811</v>
      </c>
      <c r="J152" s="80" t="s">
        <v>47</v>
      </c>
      <c r="K152" s="91" t="s">
        <v>1144</v>
      </c>
      <c r="L152" s="82" t="s">
        <v>1156</v>
      </c>
      <c r="M152" s="83">
        <f t="shared" si="1"/>
        <v>205</v>
      </c>
      <c r="N152" s="84">
        <v>205.0</v>
      </c>
      <c r="O152" s="84">
        <v>0.0</v>
      </c>
      <c r="P152" s="84">
        <v>0.0</v>
      </c>
      <c r="Q152" s="94">
        <v>737.2</v>
      </c>
      <c r="R152" s="94">
        <v>1286.96</v>
      </c>
      <c r="S152" s="95" t="s">
        <v>103</v>
      </c>
      <c r="T152" s="94">
        <v>1.0</v>
      </c>
      <c r="U152" s="96">
        <v>39820.0</v>
      </c>
      <c r="V152" s="97" t="s">
        <v>1157</v>
      </c>
      <c r="W152" s="97" t="s">
        <v>1158</v>
      </c>
      <c r="X152" s="79" t="s">
        <v>1148</v>
      </c>
      <c r="Y152" s="98"/>
      <c r="Z152" s="98"/>
      <c r="AA152" s="98"/>
      <c r="AB152" s="98"/>
      <c r="AC152" s="98"/>
      <c r="AD152" s="98"/>
      <c r="AE152" s="98"/>
      <c r="AF152" s="98"/>
      <c r="AG152" s="98"/>
      <c r="AH152" s="98"/>
      <c r="AI152" s="98"/>
      <c r="AJ152" s="98"/>
      <c r="AK152" s="98"/>
      <c r="AL152" s="98"/>
      <c r="AM152" s="98"/>
      <c r="AN152" s="98"/>
      <c r="AO152" s="98"/>
      <c r="AP152" s="98"/>
      <c r="AQ152" s="98"/>
      <c r="AR152" s="98"/>
    </row>
    <row r="153" ht="19.5" customHeight="1">
      <c r="A153" s="79">
        <v>142.0</v>
      </c>
      <c r="B153" s="91" t="s">
        <v>26</v>
      </c>
      <c r="C153" s="91" t="s">
        <v>808</v>
      </c>
      <c r="D153" s="91" t="s">
        <v>1159</v>
      </c>
      <c r="E153" s="92" t="s">
        <v>1160</v>
      </c>
      <c r="F153" s="91" t="s">
        <v>91</v>
      </c>
      <c r="G153" s="80" t="s">
        <v>44</v>
      </c>
      <c r="H153" s="80" t="s">
        <v>21</v>
      </c>
      <c r="I153" s="91" t="s">
        <v>811</v>
      </c>
      <c r="J153" s="80" t="s">
        <v>47</v>
      </c>
      <c r="K153" s="91" t="s">
        <v>1144</v>
      </c>
      <c r="L153" s="82" t="s">
        <v>1161</v>
      </c>
      <c r="M153" s="83">
        <f t="shared" si="1"/>
        <v>304</v>
      </c>
      <c r="N153" s="84">
        <v>304.0</v>
      </c>
      <c r="O153" s="84">
        <v>0.0</v>
      </c>
      <c r="P153" s="84">
        <v>0.0</v>
      </c>
      <c r="Q153" s="94">
        <v>1913.0</v>
      </c>
      <c r="R153" s="94">
        <v>4595.0</v>
      </c>
      <c r="S153" s="95" t="s">
        <v>194</v>
      </c>
      <c r="T153" s="94">
        <v>1.0</v>
      </c>
      <c r="U153" s="96">
        <v>43678.0</v>
      </c>
      <c r="V153" s="97" t="s">
        <v>1162</v>
      </c>
      <c r="W153" s="97" t="s">
        <v>1163</v>
      </c>
      <c r="X153" s="79" t="s">
        <v>1148</v>
      </c>
      <c r="Y153" s="98"/>
      <c r="Z153" s="98"/>
      <c r="AA153" s="98"/>
      <c r="AB153" s="98"/>
      <c r="AC153" s="98"/>
      <c r="AD153" s="98"/>
      <c r="AE153" s="98"/>
      <c r="AF153" s="98"/>
      <c r="AG153" s="98"/>
      <c r="AH153" s="98"/>
      <c r="AI153" s="98"/>
      <c r="AJ153" s="98"/>
      <c r="AK153" s="98"/>
      <c r="AL153" s="98"/>
      <c r="AM153" s="98"/>
      <c r="AN153" s="98"/>
      <c r="AO153" s="98"/>
      <c r="AP153" s="98"/>
      <c r="AQ153" s="98"/>
      <c r="AR153" s="98"/>
    </row>
    <row r="154" ht="19.5" customHeight="1">
      <c r="A154" s="79">
        <v>143.0</v>
      </c>
      <c r="B154" s="91" t="s">
        <v>26</v>
      </c>
      <c r="C154" s="91" t="s">
        <v>1164</v>
      </c>
      <c r="D154" s="91" t="s">
        <v>1165</v>
      </c>
      <c r="E154" s="92" t="s">
        <v>1166</v>
      </c>
      <c r="F154" s="91" t="s">
        <v>91</v>
      </c>
      <c r="G154" s="80" t="s">
        <v>42</v>
      </c>
      <c r="H154" s="80" t="s">
        <v>21</v>
      </c>
      <c r="I154" s="91" t="s">
        <v>1167</v>
      </c>
      <c r="J154" s="80" t="s">
        <v>45</v>
      </c>
      <c r="K154" s="91" t="s">
        <v>1168</v>
      </c>
      <c r="L154" s="82" t="s">
        <v>1169</v>
      </c>
      <c r="M154" s="83">
        <f t="shared" si="1"/>
        <v>206</v>
      </c>
      <c r="N154" s="84">
        <v>206.0</v>
      </c>
      <c r="O154" s="84">
        <v>0.0</v>
      </c>
      <c r="P154" s="84">
        <v>0.0</v>
      </c>
      <c r="Q154" s="94">
        <v>4423.0</v>
      </c>
      <c r="R154" s="94">
        <v>1741.0</v>
      </c>
      <c r="S154" s="95" t="s">
        <v>103</v>
      </c>
      <c r="T154" s="94">
        <v>1.0</v>
      </c>
      <c r="U154" s="96">
        <v>33929.0</v>
      </c>
      <c r="V154" s="97" t="s">
        <v>1170</v>
      </c>
      <c r="W154" s="97" t="s">
        <v>1171</v>
      </c>
      <c r="X154" s="79" t="s">
        <v>1172</v>
      </c>
      <c r="Y154" s="98"/>
      <c r="Z154" s="98"/>
      <c r="AA154" s="98"/>
      <c r="AB154" s="98"/>
      <c r="AC154" s="98"/>
      <c r="AD154" s="98"/>
      <c r="AE154" s="98"/>
      <c r="AF154" s="98"/>
      <c r="AG154" s="98"/>
      <c r="AH154" s="98"/>
      <c r="AI154" s="98"/>
      <c r="AJ154" s="98"/>
      <c r="AK154" s="98"/>
      <c r="AL154" s="98"/>
      <c r="AM154" s="98"/>
      <c r="AN154" s="98"/>
      <c r="AO154" s="98"/>
      <c r="AP154" s="98"/>
      <c r="AQ154" s="98"/>
      <c r="AR154" s="98"/>
    </row>
    <row r="155" ht="19.5" customHeight="1">
      <c r="A155" s="79">
        <v>144.0</v>
      </c>
      <c r="B155" s="91" t="s">
        <v>26</v>
      </c>
      <c r="C155" s="91" t="s">
        <v>1164</v>
      </c>
      <c r="D155" s="91" t="s">
        <v>1173</v>
      </c>
      <c r="E155" s="92" t="s">
        <v>1174</v>
      </c>
      <c r="F155" s="91" t="s">
        <v>91</v>
      </c>
      <c r="G155" s="80" t="s">
        <v>44</v>
      </c>
      <c r="H155" s="80" t="s">
        <v>21</v>
      </c>
      <c r="I155" s="91" t="s">
        <v>1167</v>
      </c>
      <c r="J155" s="80" t="s">
        <v>45</v>
      </c>
      <c r="K155" s="91" t="s">
        <v>225</v>
      </c>
      <c r="L155" s="82" t="s">
        <v>1175</v>
      </c>
      <c r="M155" s="83">
        <f t="shared" si="1"/>
        <v>155</v>
      </c>
      <c r="N155" s="84">
        <v>155.0</v>
      </c>
      <c r="O155" s="84">
        <v>0.0</v>
      </c>
      <c r="P155" s="84">
        <v>0.0</v>
      </c>
      <c r="Q155" s="94">
        <v>3444.0</v>
      </c>
      <c r="R155" s="94">
        <v>1067.0</v>
      </c>
      <c r="S155" s="95" t="s">
        <v>314</v>
      </c>
      <c r="T155" s="94">
        <v>1.0</v>
      </c>
      <c r="U155" s="96">
        <v>43243.0</v>
      </c>
      <c r="V155" s="97" t="s">
        <v>1176</v>
      </c>
      <c r="W155" s="97" t="s">
        <v>1177</v>
      </c>
      <c r="X155" s="79" t="s">
        <v>1178</v>
      </c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</row>
    <row r="156" ht="19.5" customHeight="1">
      <c r="A156" s="79">
        <v>145.0</v>
      </c>
      <c r="B156" s="79" t="s">
        <v>26</v>
      </c>
      <c r="C156" s="79" t="s">
        <v>1179</v>
      </c>
      <c r="D156" s="79" t="s">
        <v>1180</v>
      </c>
      <c r="E156" s="102" t="s">
        <v>1181</v>
      </c>
      <c r="F156" s="79" t="s">
        <v>22</v>
      </c>
      <c r="G156" s="80" t="s">
        <v>12</v>
      </c>
      <c r="H156" s="80" t="s">
        <v>22</v>
      </c>
      <c r="I156" s="79" t="s">
        <v>1182</v>
      </c>
      <c r="J156" s="80" t="s">
        <v>43</v>
      </c>
      <c r="K156" s="79" t="s">
        <v>1183</v>
      </c>
      <c r="L156" s="93" t="s">
        <v>1184</v>
      </c>
      <c r="M156" s="83">
        <f t="shared" si="1"/>
        <v>324</v>
      </c>
      <c r="N156" s="84">
        <v>156.0</v>
      </c>
      <c r="O156" s="84">
        <v>168.0</v>
      </c>
      <c r="P156" s="84">
        <v>0.0</v>
      </c>
      <c r="Q156" s="94">
        <v>4009.0</v>
      </c>
      <c r="R156" s="94">
        <v>2712.0</v>
      </c>
      <c r="S156" s="95" t="s">
        <v>291</v>
      </c>
      <c r="T156" s="94">
        <v>5.0</v>
      </c>
      <c r="U156" s="96">
        <v>41323.0</v>
      </c>
      <c r="V156" s="97" t="s">
        <v>1185</v>
      </c>
      <c r="W156" s="97" t="s">
        <v>1186</v>
      </c>
      <c r="X156" s="79" t="s">
        <v>1187</v>
      </c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</row>
    <row r="157" ht="19.5" customHeight="1">
      <c r="A157" s="79">
        <v>146.0</v>
      </c>
      <c r="B157" s="79" t="s">
        <v>26</v>
      </c>
      <c r="C157" s="79" t="s">
        <v>1179</v>
      </c>
      <c r="D157" s="79" t="s">
        <v>1180</v>
      </c>
      <c r="E157" s="102" t="s">
        <v>1188</v>
      </c>
      <c r="F157" s="79" t="s">
        <v>22</v>
      </c>
      <c r="G157" s="80" t="s">
        <v>12</v>
      </c>
      <c r="H157" s="80" t="s">
        <v>22</v>
      </c>
      <c r="I157" s="79" t="s">
        <v>1189</v>
      </c>
      <c r="J157" s="80" t="s">
        <v>43</v>
      </c>
      <c r="K157" s="79" t="s">
        <v>1190</v>
      </c>
      <c r="L157" s="93" t="s">
        <v>1191</v>
      </c>
      <c r="M157" s="83">
        <f t="shared" si="1"/>
        <v>424</v>
      </c>
      <c r="N157" s="84">
        <v>212.0</v>
      </c>
      <c r="O157" s="84">
        <v>212.0</v>
      </c>
      <c r="P157" s="84">
        <v>0.0</v>
      </c>
      <c r="Q157" s="94">
        <v>1756.0</v>
      </c>
      <c r="R157" s="94">
        <v>1701.0</v>
      </c>
      <c r="S157" s="95" t="s">
        <v>103</v>
      </c>
      <c r="T157" s="94">
        <v>3.0</v>
      </c>
      <c r="U157" s="96">
        <v>42744.0</v>
      </c>
      <c r="V157" s="97" t="s">
        <v>1192</v>
      </c>
      <c r="W157" s="97" t="s">
        <v>1192</v>
      </c>
      <c r="X157" s="79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</row>
    <row r="158" ht="19.5" customHeight="1">
      <c r="A158" s="79">
        <v>147.0</v>
      </c>
      <c r="B158" s="91" t="s">
        <v>26</v>
      </c>
      <c r="C158" s="91" t="s">
        <v>1179</v>
      </c>
      <c r="D158" s="91" t="s">
        <v>1193</v>
      </c>
      <c r="E158" s="92" t="s">
        <v>1194</v>
      </c>
      <c r="F158" s="91" t="s">
        <v>687</v>
      </c>
      <c r="G158" s="80" t="s">
        <v>44</v>
      </c>
      <c r="H158" s="80" t="s">
        <v>21</v>
      </c>
      <c r="I158" s="91" t="s">
        <v>1195</v>
      </c>
      <c r="J158" s="80" t="s">
        <v>45</v>
      </c>
      <c r="K158" s="79" t="s">
        <v>1168</v>
      </c>
      <c r="L158" s="93" t="s">
        <v>1196</v>
      </c>
      <c r="M158" s="83">
        <f t="shared" si="1"/>
        <v>172</v>
      </c>
      <c r="N158" s="84">
        <v>172.0</v>
      </c>
      <c r="O158" s="84">
        <v>0.0</v>
      </c>
      <c r="P158" s="84">
        <v>0.0</v>
      </c>
      <c r="Q158" s="94">
        <v>14400.0</v>
      </c>
      <c r="R158" s="94">
        <v>1589.24</v>
      </c>
      <c r="S158" s="95" t="s">
        <v>697</v>
      </c>
      <c r="T158" s="94">
        <v>1.0</v>
      </c>
      <c r="U158" s="96">
        <v>44280.0</v>
      </c>
      <c r="V158" s="97" t="s">
        <v>1197</v>
      </c>
      <c r="W158" s="97" t="s">
        <v>1198</v>
      </c>
      <c r="X158" s="79" t="s">
        <v>1199</v>
      </c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</row>
    <row r="159" ht="19.5" customHeight="1">
      <c r="A159" s="79">
        <v>148.0</v>
      </c>
      <c r="B159" s="91" t="s">
        <v>26</v>
      </c>
      <c r="C159" s="91" t="s">
        <v>626</v>
      </c>
      <c r="D159" s="91" t="s">
        <v>1200</v>
      </c>
      <c r="E159" s="92" t="s">
        <v>1201</v>
      </c>
      <c r="F159" s="91" t="s">
        <v>91</v>
      </c>
      <c r="G159" s="80" t="s">
        <v>42</v>
      </c>
      <c r="H159" s="80" t="s">
        <v>21</v>
      </c>
      <c r="I159" s="91" t="s">
        <v>637</v>
      </c>
      <c r="J159" s="80" t="s">
        <v>47</v>
      </c>
      <c r="K159" s="79" t="s">
        <v>1202</v>
      </c>
      <c r="L159" s="93" t="s">
        <v>1203</v>
      </c>
      <c r="M159" s="83">
        <f t="shared" si="1"/>
        <v>500</v>
      </c>
      <c r="N159" s="84">
        <v>500.0</v>
      </c>
      <c r="O159" s="84"/>
      <c r="P159" s="84"/>
      <c r="Q159" s="94">
        <v>5000.0</v>
      </c>
      <c r="R159" s="94">
        <v>5278.84</v>
      </c>
      <c r="S159" s="95" t="s">
        <v>380</v>
      </c>
      <c r="T159" s="94">
        <v>1.0</v>
      </c>
      <c r="U159" s="96">
        <v>44690.0</v>
      </c>
      <c r="V159" s="97" t="s">
        <v>1204</v>
      </c>
      <c r="W159" s="97" t="s">
        <v>1205</v>
      </c>
      <c r="X159" s="79" t="s">
        <v>1206</v>
      </c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  <c r="AR159" s="88"/>
    </row>
    <row r="160" ht="19.5" customHeight="1">
      <c r="A160" s="79">
        <v>149.0</v>
      </c>
      <c r="B160" s="91" t="s">
        <v>27</v>
      </c>
      <c r="C160" s="91" t="s">
        <v>1207</v>
      </c>
      <c r="D160" s="91" t="s">
        <v>1208</v>
      </c>
      <c r="E160" s="92" t="s">
        <v>1209</v>
      </c>
      <c r="F160" s="91" t="s">
        <v>91</v>
      </c>
      <c r="G160" s="80" t="s">
        <v>42</v>
      </c>
      <c r="H160" s="80" t="s">
        <v>21</v>
      </c>
      <c r="I160" s="91" t="s">
        <v>1210</v>
      </c>
      <c r="J160" s="80" t="s">
        <v>45</v>
      </c>
      <c r="K160" s="91" t="s">
        <v>1211</v>
      </c>
      <c r="L160" s="82" t="s">
        <v>1212</v>
      </c>
      <c r="M160" s="83">
        <f t="shared" si="1"/>
        <v>500</v>
      </c>
      <c r="N160" s="84">
        <v>500.0</v>
      </c>
      <c r="O160" s="84">
        <v>0.0</v>
      </c>
      <c r="P160" s="84">
        <v>0.0</v>
      </c>
      <c r="Q160" s="94">
        <v>5299.0</v>
      </c>
      <c r="R160" s="94">
        <v>3949.0</v>
      </c>
      <c r="S160" s="95" t="s">
        <v>103</v>
      </c>
      <c r="T160" s="94">
        <v>1.0</v>
      </c>
      <c r="U160" s="96">
        <v>37567.0</v>
      </c>
      <c r="V160" s="97" t="s">
        <v>1213</v>
      </c>
      <c r="W160" s="97" t="s">
        <v>1214</v>
      </c>
      <c r="X160" s="79" t="s">
        <v>1215</v>
      </c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</row>
    <row r="161" ht="19.5" customHeight="1">
      <c r="A161" s="79">
        <v>150.0</v>
      </c>
      <c r="B161" s="91" t="s">
        <v>27</v>
      </c>
      <c r="C161" s="91" t="s">
        <v>1207</v>
      </c>
      <c r="D161" s="91" t="s">
        <v>459</v>
      </c>
      <c r="E161" s="92" t="s">
        <v>1216</v>
      </c>
      <c r="F161" s="91" t="s">
        <v>91</v>
      </c>
      <c r="G161" s="80" t="s">
        <v>44</v>
      </c>
      <c r="H161" s="80" t="s">
        <v>21</v>
      </c>
      <c r="I161" s="91" t="s">
        <v>1210</v>
      </c>
      <c r="J161" s="80" t="s">
        <v>43</v>
      </c>
      <c r="K161" s="91" t="s">
        <v>1217</v>
      </c>
      <c r="L161" s="82" t="s">
        <v>1218</v>
      </c>
      <c r="M161" s="83">
        <f t="shared" si="1"/>
        <v>200</v>
      </c>
      <c r="N161" s="84">
        <v>200.0</v>
      </c>
      <c r="O161" s="84">
        <v>0.0</v>
      </c>
      <c r="P161" s="84">
        <v>0.0</v>
      </c>
      <c r="Q161" s="94">
        <v>2067.0</v>
      </c>
      <c r="R161" s="94">
        <v>1941.0</v>
      </c>
      <c r="S161" s="95" t="s">
        <v>103</v>
      </c>
      <c r="T161" s="94">
        <v>1.0</v>
      </c>
      <c r="U161" s="96">
        <v>42713.0</v>
      </c>
      <c r="V161" s="97" t="s">
        <v>1219</v>
      </c>
      <c r="W161" s="97" t="s">
        <v>1220</v>
      </c>
      <c r="X161" s="79" t="s">
        <v>1221</v>
      </c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  <c r="AR161" s="88"/>
    </row>
    <row r="162" ht="19.5" customHeight="1">
      <c r="A162" s="79">
        <v>151.0</v>
      </c>
      <c r="B162" s="80" t="s">
        <v>27</v>
      </c>
      <c r="C162" s="80" t="s">
        <v>1207</v>
      </c>
      <c r="D162" s="80" t="s">
        <v>1222</v>
      </c>
      <c r="E162" s="81" t="s">
        <v>1223</v>
      </c>
      <c r="F162" s="80" t="s">
        <v>81</v>
      </c>
      <c r="G162" s="80" t="s">
        <v>44</v>
      </c>
      <c r="H162" s="80" t="s">
        <v>21</v>
      </c>
      <c r="I162" s="80" t="s">
        <v>1224</v>
      </c>
      <c r="J162" s="80" t="s">
        <v>45</v>
      </c>
      <c r="K162" s="80" t="s">
        <v>93</v>
      </c>
      <c r="L162" s="82" t="s">
        <v>1225</v>
      </c>
      <c r="M162" s="83">
        <f t="shared" si="1"/>
        <v>150</v>
      </c>
      <c r="N162" s="84">
        <v>150.0</v>
      </c>
      <c r="O162" s="84">
        <v>0.0</v>
      </c>
      <c r="P162" s="84">
        <v>0.0</v>
      </c>
      <c r="Q162" s="94">
        <v>1400.0</v>
      </c>
      <c r="R162" s="94">
        <v>1605.0</v>
      </c>
      <c r="S162" s="95" t="s">
        <v>103</v>
      </c>
      <c r="T162" s="94">
        <v>1.0</v>
      </c>
      <c r="U162" s="96">
        <v>43070.0</v>
      </c>
      <c r="V162" s="97" t="s">
        <v>1226</v>
      </c>
      <c r="W162" s="97" t="s">
        <v>1227</v>
      </c>
      <c r="X162" s="79" t="s">
        <v>1228</v>
      </c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  <c r="AR162" s="88"/>
    </row>
    <row r="163" ht="19.5" customHeight="1">
      <c r="A163" s="79">
        <v>152.0</v>
      </c>
      <c r="B163" s="80" t="s">
        <v>27</v>
      </c>
      <c r="C163" s="80" t="s">
        <v>1207</v>
      </c>
      <c r="D163" s="80" t="s">
        <v>1229</v>
      </c>
      <c r="E163" s="81" t="s">
        <v>1230</v>
      </c>
      <c r="F163" s="80" t="s">
        <v>91</v>
      </c>
      <c r="G163" s="80" t="s">
        <v>44</v>
      </c>
      <c r="H163" s="80" t="s">
        <v>21</v>
      </c>
      <c r="I163" s="80" t="s">
        <v>1210</v>
      </c>
      <c r="J163" s="80" t="s">
        <v>45</v>
      </c>
      <c r="K163" s="80" t="s">
        <v>1231</v>
      </c>
      <c r="L163" s="82" t="s">
        <v>1232</v>
      </c>
      <c r="M163" s="83">
        <f t="shared" si="1"/>
        <v>130</v>
      </c>
      <c r="N163" s="84">
        <v>130.0</v>
      </c>
      <c r="O163" s="84">
        <v>0.0</v>
      </c>
      <c r="P163" s="84">
        <v>0.0</v>
      </c>
      <c r="Q163" s="94">
        <v>1318.0</v>
      </c>
      <c r="R163" s="94">
        <v>820.56</v>
      </c>
      <c r="S163" s="95" t="s">
        <v>529</v>
      </c>
      <c r="T163" s="94">
        <v>1.0</v>
      </c>
      <c r="U163" s="96">
        <v>45463.0</v>
      </c>
      <c r="V163" s="97" t="s">
        <v>1233</v>
      </c>
      <c r="W163" s="97" t="s">
        <v>1234</v>
      </c>
      <c r="X163" s="79" t="s">
        <v>1235</v>
      </c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</row>
    <row r="164" ht="19.5" customHeight="1">
      <c r="A164" s="79">
        <v>153.0</v>
      </c>
      <c r="B164" s="91" t="s">
        <v>27</v>
      </c>
      <c r="C164" s="91" t="s">
        <v>708</v>
      </c>
      <c r="D164" s="91" t="s">
        <v>1236</v>
      </c>
      <c r="E164" s="92" t="s">
        <v>1237</v>
      </c>
      <c r="F164" s="91" t="s">
        <v>91</v>
      </c>
      <c r="G164" s="80" t="s">
        <v>42</v>
      </c>
      <c r="H164" s="80" t="s">
        <v>21</v>
      </c>
      <c r="I164" s="91" t="s">
        <v>904</v>
      </c>
      <c r="J164" s="80" t="s">
        <v>45</v>
      </c>
      <c r="K164" s="91" t="s">
        <v>1238</v>
      </c>
      <c r="L164" s="82" t="s">
        <v>1239</v>
      </c>
      <c r="M164" s="83">
        <f t="shared" si="1"/>
        <v>457</v>
      </c>
      <c r="N164" s="84">
        <v>457.0</v>
      </c>
      <c r="O164" s="84">
        <v>0.0</v>
      </c>
      <c r="P164" s="84">
        <v>0.0</v>
      </c>
      <c r="Q164" s="94">
        <v>3728.0</v>
      </c>
      <c r="R164" s="94">
        <v>4654.5</v>
      </c>
      <c r="S164" s="95" t="s">
        <v>1240</v>
      </c>
      <c r="T164" s="94">
        <v>1.0</v>
      </c>
      <c r="U164" s="96">
        <v>37946.0</v>
      </c>
      <c r="V164" s="97" t="s">
        <v>1241</v>
      </c>
      <c r="W164" s="97" t="s">
        <v>1242</v>
      </c>
      <c r="X164" s="79" t="s">
        <v>1243</v>
      </c>
      <c r="Y164" s="103"/>
      <c r="Z164" s="103"/>
      <c r="AA164" s="103"/>
      <c r="AB164" s="103"/>
      <c r="AC164" s="103"/>
      <c r="AD164" s="103"/>
      <c r="AE164" s="103"/>
      <c r="AF164" s="103"/>
      <c r="AG164" s="103"/>
      <c r="AH164" s="103"/>
      <c r="AI164" s="103"/>
      <c r="AJ164" s="103"/>
      <c r="AK164" s="103"/>
      <c r="AL164" s="103"/>
      <c r="AM164" s="103"/>
      <c r="AN164" s="103"/>
      <c r="AO164" s="103"/>
      <c r="AP164" s="103"/>
      <c r="AQ164" s="103"/>
      <c r="AR164" s="103"/>
    </row>
    <row r="165" ht="19.5" customHeight="1">
      <c r="A165" s="79">
        <v>154.0</v>
      </c>
      <c r="B165" s="80" t="s">
        <v>27</v>
      </c>
      <c r="C165" s="80" t="s">
        <v>708</v>
      </c>
      <c r="D165" s="80" t="s">
        <v>1236</v>
      </c>
      <c r="E165" s="81" t="s">
        <v>1244</v>
      </c>
      <c r="F165" s="80" t="s">
        <v>81</v>
      </c>
      <c r="G165" s="80" t="s">
        <v>44</v>
      </c>
      <c r="H165" s="80" t="s">
        <v>21</v>
      </c>
      <c r="I165" s="80" t="s">
        <v>1224</v>
      </c>
      <c r="J165" s="80" t="s">
        <v>45</v>
      </c>
      <c r="K165" s="80" t="s">
        <v>1245</v>
      </c>
      <c r="L165" s="82" t="s">
        <v>1246</v>
      </c>
      <c r="M165" s="83">
        <f t="shared" si="1"/>
        <v>120</v>
      </c>
      <c r="N165" s="84">
        <v>120.0</v>
      </c>
      <c r="O165" s="84">
        <v>0.0</v>
      </c>
      <c r="P165" s="84">
        <v>0.0</v>
      </c>
      <c r="Q165" s="94">
        <v>10288.8</v>
      </c>
      <c r="R165" s="94">
        <v>958.61</v>
      </c>
      <c r="S165" s="95" t="s">
        <v>1247</v>
      </c>
      <c r="T165" s="94">
        <v>1.0</v>
      </c>
      <c r="U165" s="96">
        <v>43675.0</v>
      </c>
      <c r="V165" s="97" t="s">
        <v>1248</v>
      </c>
      <c r="W165" s="97" t="s">
        <v>1249</v>
      </c>
      <c r="X165" s="79" t="s">
        <v>1250</v>
      </c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</row>
    <row r="166" ht="19.5" customHeight="1">
      <c r="A166" s="79">
        <v>155.0</v>
      </c>
      <c r="B166" s="80" t="s">
        <v>27</v>
      </c>
      <c r="C166" s="80" t="s">
        <v>962</v>
      </c>
      <c r="D166" s="80" t="s">
        <v>1251</v>
      </c>
      <c r="E166" s="92" t="s">
        <v>1111</v>
      </c>
      <c r="F166" s="91" t="s">
        <v>91</v>
      </c>
      <c r="G166" s="80" t="s">
        <v>42</v>
      </c>
      <c r="H166" s="80" t="s">
        <v>21</v>
      </c>
      <c r="I166" s="91" t="s">
        <v>965</v>
      </c>
      <c r="J166" s="80" t="s">
        <v>45</v>
      </c>
      <c r="K166" s="95" t="s">
        <v>1252</v>
      </c>
      <c r="L166" s="82" t="s">
        <v>1253</v>
      </c>
      <c r="M166" s="83">
        <f t="shared" si="1"/>
        <v>500</v>
      </c>
      <c r="N166" s="84">
        <v>500.0</v>
      </c>
      <c r="O166" s="84">
        <v>0.0</v>
      </c>
      <c r="P166" s="84">
        <v>0.0</v>
      </c>
      <c r="Q166" s="94">
        <v>6230.0</v>
      </c>
      <c r="R166" s="94">
        <v>3907.08</v>
      </c>
      <c r="S166" s="95" t="s">
        <v>1254</v>
      </c>
      <c r="T166" s="94">
        <v>1.0</v>
      </c>
      <c r="U166" s="96">
        <v>36511.0</v>
      </c>
      <c r="V166" s="97" t="s">
        <v>1255</v>
      </c>
      <c r="W166" s="97" t="s">
        <v>1256</v>
      </c>
      <c r="X166" s="79" t="s">
        <v>1257</v>
      </c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</row>
    <row r="167" ht="19.5" customHeight="1">
      <c r="A167" s="79">
        <v>156.0</v>
      </c>
      <c r="B167" s="95" t="s">
        <v>27</v>
      </c>
      <c r="C167" s="95" t="s">
        <v>962</v>
      </c>
      <c r="D167" s="95" t="s">
        <v>1015</v>
      </c>
      <c r="E167" s="100" t="s">
        <v>1258</v>
      </c>
      <c r="F167" s="95" t="s">
        <v>81</v>
      </c>
      <c r="G167" s="80" t="s">
        <v>49</v>
      </c>
      <c r="H167" s="80" t="s">
        <v>21</v>
      </c>
      <c r="I167" s="95" t="s">
        <v>1224</v>
      </c>
      <c r="J167" s="80" t="s">
        <v>45</v>
      </c>
      <c r="K167" s="95" t="s">
        <v>1259</v>
      </c>
      <c r="L167" s="82" t="s">
        <v>1260</v>
      </c>
      <c r="M167" s="83">
        <f t="shared" si="1"/>
        <v>400</v>
      </c>
      <c r="N167" s="84">
        <v>400.0</v>
      </c>
      <c r="O167" s="84">
        <v>0.0</v>
      </c>
      <c r="P167" s="84">
        <v>0.0</v>
      </c>
      <c r="Q167" s="94">
        <v>3892.0</v>
      </c>
      <c r="R167" s="94">
        <v>4609.49</v>
      </c>
      <c r="S167" s="95" t="s">
        <v>1261</v>
      </c>
      <c r="T167" s="94">
        <v>4.0</v>
      </c>
      <c r="U167" s="96">
        <v>42670.0</v>
      </c>
      <c r="V167" s="97" t="s">
        <v>1262</v>
      </c>
      <c r="W167" s="97" t="s">
        <v>1263</v>
      </c>
      <c r="X167" s="79" t="s">
        <v>1264</v>
      </c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</row>
    <row r="168" ht="19.5" customHeight="1">
      <c r="A168" s="79">
        <v>157.0</v>
      </c>
      <c r="B168" s="79" t="s">
        <v>27</v>
      </c>
      <c r="C168" s="79" t="s">
        <v>962</v>
      </c>
      <c r="D168" s="79" t="s">
        <v>1265</v>
      </c>
      <c r="E168" s="102" t="s">
        <v>964</v>
      </c>
      <c r="F168" s="79" t="s">
        <v>91</v>
      </c>
      <c r="G168" s="80" t="s">
        <v>44</v>
      </c>
      <c r="H168" s="80" t="s">
        <v>21</v>
      </c>
      <c r="I168" s="79" t="s">
        <v>965</v>
      </c>
      <c r="J168" s="80" t="s">
        <v>45</v>
      </c>
      <c r="K168" s="79" t="s">
        <v>1266</v>
      </c>
      <c r="L168" s="93" t="s">
        <v>1267</v>
      </c>
      <c r="M168" s="83">
        <f t="shared" si="1"/>
        <v>100</v>
      </c>
      <c r="N168" s="84">
        <v>100.0</v>
      </c>
      <c r="O168" s="84">
        <v>0.0</v>
      </c>
      <c r="P168" s="84">
        <v>0.0</v>
      </c>
      <c r="Q168" s="94">
        <v>480.58</v>
      </c>
      <c r="R168" s="94">
        <v>795.58</v>
      </c>
      <c r="S168" s="95" t="s">
        <v>314</v>
      </c>
      <c r="T168" s="94">
        <v>1.0</v>
      </c>
      <c r="U168" s="96">
        <v>45078.0</v>
      </c>
      <c r="V168" s="97" t="s">
        <v>1268</v>
      </c>
      <c r="W168" s="97" t="s">
        <v>1269</v>
      </c>
      <c r="X168" s="79" t="s">
        <v>1270</v>
      </c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</row>
    <row r="169" ht="19.5" customHeight="1">
      <c r="A169" s="79">
        <v>158.0</v>
      </c>
      <c r="B169" s="80" t="s">
        <v>27</v>
      </c>
      <c r="C169" s="80" t="s">
        <v>765</v>
      </c>
      <c r="D169" s="80" t="s">
        <v>1271</v>
      </c>
      <c r="E169" s="81" t="s">
        <v>1272</v>
      </c>
      <c r="F169" s="80" t="s">
        <v>91</v>
      </c>
      <c r="G169" s="80" t="s">
        <v>42</v>
      </c>
      <c r="H169" s="80" t="s">
        <v>21</v>
      </c>
      <c r="I169" s="80" t="s">
        <v>775</v>
      </c>
      <c r="J169" s="80" t="s">
        <v>45</v>
      </c>
      <c r="K169" s="80" t="s">
        <v>1273</v>
      </c>
      <c r="L169" s="82" t="s">
        <v>1274</v>
      </c>
      <c r="M169" s="83">
        <f t="shared" si="1"/>
        <v>450</v>
      </c>
      <c r="N169" s="84">
        <v>450.0</v>
      </c>
      <c r="O169" s="84">
        <v>0.0</v>
      </c>
      <c r="P169" s="84">
        <v>0.0</v>
      </c>
      <c r="Q169" s="94">
        <v>3305.0</v>
      </c>
      <c r="R169" s="94">
        <v>5030.0</v>
      </c>
      <c r="S169" s="95" t="s">
        <v>103</v>
      </c>
      <c r="T169" s="94">
        <v>1.0</v>
      </c>
      <c r="U169" s="96">
        <v>34769.0</v>
      </c>
      <c r="V169" s="97" t="s">
        <v>1275</v>
      </c>
      <c r="W169" s="97" t="s">
        <v>1276</v>
      </c>
      <c r="X169" s="79" t="s">
        <v>1277</v>
      </c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</row>
    <row r="170" ht="19.5" customHeight="1">
      <c r="A170" s="79">
        <v>159.0</v>
      </c>
      <c r="B170" s="80" t="s">
        <v>27</v>
      </c>
      <c r="C170" s="80" t="s">
        <v>765</v>
      </c>
      <c r="D170" s="80" t="s">
        <v>1278</v>
      </c>
      <c r="E170" s="81" t="s">
        <v>1279</v>
      </c>
      <c r="F170" s="80" t="s">
        <v>81</v>
      </c>
      <c r="G170" s="80" t="s">
        <v>44</v>
      </c>
      <c r="H170" s="80" t="s">
        <v>21</v>
      </c>
      <c r="I170" s="80" t="s">
        <v>1224</v>
      </c>
      <c r="J170" s="80" t="s">
        <v>45</v>
      </c>
      <c r="K170" s="80" t="s">
        <v>1266</v>
      </c>
      <c r="L170" s="82" t="s">
        <v>1280</v>
      </c>
      <c r="M170" s="83">
        <f t="shared" si="1"/>
        <v>100</v>
      </c>
      <c r="N170" s="84">
        <v>100.0</v>
      </c>
      <c r="O170" s="84">
        <v>0.0</v>
      </c>
      <c r="P170" s="84">
        <v>0.0</v>
      </c>
      <c r="Q170" s="94">
        <v>8898.0</v>
      </c>
      <c r="R170" s="94">
        <v>700.0</v>
      </c>
      <c r="S170" s="95" t="s">
        <v>350</v>
      </c>
      <c r="T170" s="94">
        <v>1.0</v>
      </c>
      <c r="U170" s="96">
        <v>43344.0</v>
      </c>
      <c r="V170" s="97" t="s">
        <v>1281</v>
      </c>
      <c r="W170" s="97" t="s">
        <v>1282</v>
      </c>
      <c r="X170" s="79" t="s">
        <v>1283</v>
      </c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</row>
    <row r="171" ht="19.5" customHeight="1">
      <c r="A171" s="79">
        <v>160.0</v>
      </c>
      <c r="B171" s="80" t="s">
        <v>27</v>
      </c>
      <c r="C171" s="80" t="s">
        <v>765</v>
      </c>
      <c r="D171" s="80" t="s">
        <v>1284</v>
      </c>
      <c r="E171" s="81" t="s">
        <v>1285</v>
      </c>
      <c r="F171" s="80" t="s">
        <v>81</v>
      </c>
      <c r="G171" s="80" t="s">
        <v>44</v>
      </c>
      <c r="H171" s="80" t="s">
        <v>21</v>
      </c>
      <c r="I171" s="80" t="s">
        <v>1224</v>
      </c>
      <c r="J171" s="80" t="s">
        <v>45</v>
      </c>
      <c r="K171" s="80" t="s">
        <v>1286</v>
      </c>
      <c r="L171" s="82" t="s">
        <v>1287</v>
      </c>
      <c r="M171" s="83">
        <f t="shared" si="1"/>
        <v>120</v>
      </c>
      <c r="N171" s="84">
        <v>120.0</v>
      </c>
      <c r="O171" s="84">
        <v>0.0</v>
      </c>
      <c r="P171" s="84">
        <v>0.0</v>
      </c>
      <c r="Q171" s="94">
        <v>338.02</v>
      </c>
      <c r="R171" s="94">
        <v>880.0</v>
      </c>
      <c r="S171" s="95" t="s">
        <v>314</v>
      </c>
      <c r="T171" s="94">
        <v>1.0</v>
      </c>
      <c r="U171" s="96">
        <v>43504.0</v>
      </c>
      <c r="V171" s="97" t="s">
        <v>1288</v>
      </c>
      <c r="W171" s="97" t="s">
        <v>1289</v>
      </c>
      <c r="X171" s="79" t="s">
        <v>1290</v>
      </c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  <c r="AQ171" s="88"/>
      <c r="AR171" s="88"/>
    </row>
    <row r="172" ht="19.5" customHeight="1">
      <c r="A172" s="79">
        <v>161.0</v>
      </c>
      <c r="B172" s="91" t="s">
        <v>27</v>
      </c>
      <c r="C172" s="91" t="s">
        <v>765</v>
      </c>
      <c r="D172" s="91" t="s">
        <v>1291</v>
      </c>
      <c r="E172" s="92" t="s">
        <v>1292</v>
      </c>
      <c r="F172" s="91" t="s">
        <v>81</v>
      </c>
      <c r="G172" s="80" t="s">
        <v>44</v>
      </c>
      <c r="H172" s="80" t="s">
        <v>21</v>
      </c>
      <c r="I172" s="91" t="s">
        <v>1224</v>
      </c>
      <c r="J172" s="80" t="s">
        <v>45</v>
      </c>
      <c r="K172" s="91" t="s">
        <v>1211</v>
      </c>
      <c r="L172" s="82" t="s">
        <v>1293</v>
      </c>
      <c r="M172" s="83">
        <f t="shared" si="1"/>
        <v>120</v>
      </c>
      <c r="N172" s="84">
        <v>120.0</v>
      </c>
      <c r="O172" s="84">
        <v>0.0</v>
      </c>
      <c r="P172" s="84">
        <v>0.0</v>
      </c>
      <c r="Q172" s="94">
        <v>615.0</v>
      </c>
      <c r="R172" s="94">
        <v>901.67</v>
      </c>
      <c r="S172" s="95" t="s">
        <v>350</v>
      </c>
      <c r="T172" s="94">
        <v>1.0</v>
      </c>
      <c r="U172" s="96">
        <v>44207.0</v>
      </c>
      <c r="V172" s="97" t="s">
        <v>1294</v>
      </c>
      <c r="W172" s="97" t="s">
        <v>1295</v>
      </c>
      <c r="X172" s="79" t="s">
        <v>1296</v>
      </c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  <c r="AR172" s="88"/>
    </row>
    <row r="173" ht="19.5" customHeight="1">
      <c r="A173" s="79">
        <v>162.0</v>
      </c>
      <c r="B173" s="91" t="s">
        <v>27</v>
      </c>
      <c r="C173" s="91" t="s">
        <v>808</v>
      </c>
      <c r="D173" s="91" t="s">
        <v>1297</v>
      </c>
      <c r="E173" s="92" t="s">
        <v>1000</v>
      </c>
      <c r="F173" s="91" t="s">
        <v>91</v>
      </c>
      <c r="G173" s="80" t="s">
        <v>42</v>
      </c>
      <c r="H173" s="80" t="s">
        <v>21</v>
      </c>
      <c r="I173" s="91" t="s">
        <v>811</v>
      </c>
      <c r="J173" s="80" t="s">
        <v>45</v>
      </c>
      <c r="K173" s="91" t="s">
        <v>1211</v>
      </c>
      <c r="L173" s="82" t="s">
        <v>1298</v>
      </c>
      <c r="M173" s="83">
        <f t="shared" si="1"/>
        <v>450</v>
      </c>
      <c r="N173" s="84">
        <v>450.0</v>
      </c>
      <c r="O173" s="84">
        <v>0.0</v>
      </c>
      <c r="P173" s="84">
        <v>0.0</v>
      </c>
      <c r="Q173" s="94">
        <v>18267.0</v>
      </c>
      <c r="R173" s="94">
        <v>3225.0</v>
      </c>
      <c r="S173" s="95" t="s">
        <v>103</v>
      </c>
      <c r="T173" s="94">
        <v>1.0</v>
      </c>
      <c r="U173" s="96">
        <v>36631.0</v>
      </c>
      <c r="V173" s="97" t="s">
        <v>1299</v>
      </c>
      <c r="W173" s="97" t="s">
        <v>1300</v>
      </c>
      <c r="X173" s="79" t="s">
        <v>1301</v>
      </c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  <c r="AQ173" s="88"/>
      <c r="AR173" s="88"/>
    </row>
    <row r="174" ht="19.5" customHeight="1">
      <c r="A174" s="79">
        <v>163.0</v>
      </c>
      <c r="B174" s="91" t="s">
        <v>27</v>
      </c>
      <c r="C174" s="91" t="s">
        <v>808</v>
      </c>
      <c r="D174" s="91" t="s">
        <v>1302</v>
      </c>
      <c r="E174" s="92" t="s">
        <v>820</v>
      </c>
      <c r="F174" s="91" t="s">
        <v>91</v>
      </c>
      <c r="G174" s="80" t="s">
        <v>44</v>
      </c>
      <c r="H174" s="80" t="s">
        <v>21</v>
      </c>
      <c r="I174" s="91" t="s">
        <v>811</v>
      </c>
      <c r="J174" s="80" t="s">
        <v>45</v>
      </c>
      <c r="K174" s="91" t="s">
        <v>1303</v>
      </c>
      <c r="L174" s="82" t="s">
        <v>1304</v>
      </c>
      <c r="M174" s="83">
        <f t="shared" si="1"/>
        <v>100</v>
      </c>
      <c r="N174" s="84">
        <v>100.0</v>
      </c>
      <c r="O174" s="84">
        <v>0.0</v>
      </c>
      <c r="P174" s="84">
        <v>0.0</v>
      </c>
      <c r="Q174" s="94">
        <v>372.0</v>
      </c>
      <c r="R174" s="94">
        <v>651.63</v>
      </c>
      <c r="S174" s="95" t="s">
        <v>314</v>
      </c>
      <c r="T174" s="94">
        <v>1.0</v>
      </c>
      <c r="U174" s="96">
        <v>37343.0</v>
      </c>
      <c r="V174" s="97" t="s">
        <v>1305</v>
      </c>
      <c r="W174" s="97" t="s">
        <v>1306</v>
      </c>
      <c r="X174" s="79" t="s">
        <v>1307</v>
      </c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</row>
    <row r="175" ht="19.5" customHeight="1">
      <c r="A175" s="79">
        <v>164.0</v>
      </c>
      <c r="B175" s="91" t="s">
        <v>27</v>
      </c>
      <c r="C175" s="91" t="s">
        <v>808</v>
      </c>
      <c r="D175" s="91" t="s">
        <v>1308</v>
      </c>
      <c r="E175" s="92" t="s">
        <v>1309</v>
      </c>
      <c r="F175" s="91" t="s">
        <v>22</v>
      </c>
      <c r="G175" s="80" t="s">
        <v>44</v>
      </c>
      <c r="H175" s="80" t="s">
        <v>22</v>
      </c>
      <c r="I175" s="91" t="s">
        <v>1310</v>
      </c>
      <c r="J175" s="80" t="s">
        <v>43</v>
      </c>
      <c r="K175" s="91" t="s">
        <v>1311</v>
      </c>
      <c r="L175" s="82" t="s">
        <v>1312</v>
      </c>
      <c r="M175" s="83">
        <f t="shared" si="1"/>
        <v>100</v>
      </c>
      <c r="N175" s="84">
        <v>100.0</v>
      </c>
      <c r="O175" s="84">
        <v>0.0</v>
      </c>
      <c r="P175" s="84">
        <v>0.0</v>
      </c>
      <c r="Q175" s="94">
        <v>291.0</v>
      </c>
      <c r="R175" s="94">
        <v>816.0</v>
      </c>
      <c r="S175" s="95" t="s">
        <v>217</v>
      </c>
      <c r="T175" s="94">
        <v>1.0</v>
      </c>
      <c r="U175" s="96">
        <v>41557.0</v>
      </c>
      <c r="V175" s="97" t="s">
        <v>1313</v>
      </c>
      <c r="W175" s="97" t="s">
        <v>1314</v>
      </c>
      <c r="X175" s="79" t="s">
        <v>1315</v>
      </c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</row>
    <row r="176" ht="19.5" customHeight="1">
      <c r="A176" s="79">
        <v>165.0</v>
      </c>
      <c r="B176" s="91" t="s">
        <v>27</v>
      </c>
      <c r="C176" s="91" t="s">
        <v>808</v>
      </c>
      <c r="D176" s="91" t="s">
        <v>1308</v>
      </c>
      <c r="E176" s="92" t="s">
        <v>1316</v>
      </c>
      <c r="F176" s="91" t="s">
        <v>91</v>
      </c>
      <c r="G176" s="80" t="s">
        <v>44</v>
      </c>
      <c r="H176" s="80" t="s">
        <v>21</v>
      </c>
      <c r="I176" s="91" t="s">
        <v>811</v>
      </c>
      <c r="J176" s="80" t="s">
        <v>45</v>
      </c>
      <c r="K176" s="91" t="s">
        <v>152</v>
      </c>
      <c r="L176" s="82" t="s">
        <v>1317</v>
      </c>
      <c r="M176" s="83">
        <f t="shared" si="1"/>
        <v>120</v>
      </c>
      <c r="N176" s="84">
        <v>120.0</v>
      </c>
      <c r="O176" s="84">
        <v>0.0</v>
      </c>
      <c r="P176" s="84">
        <v>0.0</v>
      </c>
      <c r="Q176" s="94">
        <v>825.0</v>
      </c>
      <c r="R176" s="94">
        <v>2003.0</v>
      </c>
      <c r="S176" s="95" t="s">
        <v>320</v>
      </c>
      <c r="T176" s="94">
        <v>1.0</v>
      </c>
      <c r="U176" s="96">
        <v>45077.0</v>
      </c>
      <c r="V176" s="97" t="s">
        <v>1318</v>
      </c>
      <c r="W176" s="97" t="s">
        <v>1319</v>
      </c>
      <c r="X176" s="79" t="s">
        <v>1320</v>
      </c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</row>
    <row r="177" ht="19.5" customHeight="1">
      <c r="A177" s="79">
        <v>166.0</v>
      </c>
      <c r="B177" s="91" t="s">
        <v>27</v>
      </c>
      <c r="C177" s="91" t="s">
        <v>808</v>
      </c>
      <c r="D177" s="91" t="s">
        <v>1321</v>
      </c>
      <c r="E177" s="92" t="s">
        <v>1322</v>
      </c>
      <c r="F177" s="91" t="s">
        <v>81</v>
      </c>
      <c r="G177" s="80" t="s">
        <v>46</v>
      </c>
      <c r="H177" s="80" t="s">
        <v>21</v>
      </c>
      <c r="I177" s="91" t="s">
        <v>1224</v>
      </c>
      <c r="J177" s="80" t="s">
        <v>45</v>
      </c>
      <c r="K177" s="91" t="s">
        <v>1323</v>
      </c>
      <c r="L177" s="82" t="s">
        <v>1324</v>
      </c>
      <c r="M177" s="83">
        <f t="shared" si="1"/>
        <v>280</v>
      </c>
      <c r="N177" s="84">
        <v>0.0</v>
      </c>
      <c r="O177" s="84">
        <v>280.0</v>
      </c>
      <c r="P177" s="84">
        <v>0.0</v>
      </c>
      <c r="Q177" s="94">
        <v>33347.0</v>
      </c>
      <c r="R177" s="94">
        <v>11019.0</v>
      </c>
      <c r="S177" s="95" t="s">
        <v>103</v>
      </c>
      <c r="T177" s="94">
        <v>4.0</v>
      </c>
      <c r="U177" s="96">
        <v>36288.0</v>
      </c>
      <c r="V177" s="97" t="s">
        <v>1325</v>
      </c>
      <c r="W177" s="97" t="s">
        <v>1326</v>
      </c>
      <c r="X177" s="79" t="s">
        <v>1327</v>
      </c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</row>
    <row r="178" ht="19.5" customHeight="1">
      <c r="A178" s="79">
        <v>167.0</v>
      </c>
      <c r="B178" s="91" t="s">
        <v>27</v>
      </c>
      <c r="C178" s="91" t="s">
        <v>808</v>
      </c>
      <c r="D178" s="91" t="s">
        <v>1321</v>
      </c>
      <c r="E178" s="92" t="s">
        <v>1328</v>
      </c>
      <c r="F178" s="91" t="s">
        <v>81</v>
      </c>
      <c r="G178" s="80" t="s">
        <v>44</v>
      </c>
      <c r="H178" s="80" t="s">
        <v>21</v>
      </c>
      <c r="I178" s="91" t="s">
        <v>1224</v>
      </c>
      <c r="J178" s="80" t="s">
        <v>45</v>
      </c>
      <c r="K178" s="91" t="s">
        <v>152</v>
      </c>
      <c r="L178" s="82" t="s">
        <v>1329</v>
      </c>
      <c r="M178" s="83">
        <f t="shared" si="1"/>
        <v>150</v>
      </c>
      <c r="N178" s="84">
        <v>150.0</v>
      </c>
      <c r="O178" s="84">
        <v>0.0</v>
      </c>
      <c r="P178" s="84">
        <v>0.0</v>
      </c>
      <c r="Q178" s="94">
        <v>4742.0</v>
      </c>
      <c r="R178" s="94">
        <v>1900.3</v>
      </c>
      <c r="S178" s="95" t="s">
        <v>103</v>
      </c>
      <c r="T178" s="94">
        <v>1.0</v>
      </c>
      <c r="U178" s="96">
        <v>39814.0</v>
      </c>
      <c r="V178" s="97" t="s">
        <v>1330</v>
      </c>
      <c r="W178" s="97" t="s">
        <v>1331</v>
      </c>
      <c r="X178" s="79" t="s">
        <v>1315</v>
      </c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88"/>
      <c r="AR178" s="88"/>
    </row>
    <row r="179" ht="19.5" customHeight="1">
      <c r="A179" s="79">
        <v>168.0</v>
      </c>
      <c r="B179" s="80" t="s">
        <v>28</v>
      </c>
      <c r="C179" s="80" t="s">
        <v>1332</v>
      </c>
      <c r="D179" s="80" t="s">
        <v>1333</v>
      </c>
      <c r="E179" s="81" t="s">
        <v>1334</v>
      </c>
      <c r="F179" s="80" t="s">
        <v>91</v>
      </c>
      <c r="G179" s="80" t="s">
        <v>44</v>
      </c>
      <c r="H179" s="80" t="s">
        <v>21</v>
      </c>
      <c r="I179" s="80" t="s">
        <v>1335</v>
      </c>
      <c r="J179" s="80" t="s">
        <v>45</v>
      </c>
      <c r="K179" s="80" t="s">
        <v>1336</v>
      </c>
      <c r="L179" s="82" t="s">
        <v>1337</v>
      </c>
      <c r="M179" s="83">
        <f t="shared" si="1"/>
        <v>90</v>
      </c>
      <c r="N179" s="84">
        <v>90.0</v>
      </c>
      <c r="O179" s="84"/>
      <c r="P179" s="84"/>
      <c r="Q179" s="94">
        <v>722.0</v>
      </c>
      <c r="R179" s="94">
        <v>485.0</v>
      </c>
      <c r="S179" s="95" t="s">
        <v>314</v>
      </c>
      <c r="T179" s="94">
        <v>1.0</v>
      </c>
      <c r="U179" s="96">
        <v>37252.0</v>
      </c>
      <c r="V179" s="97" t="s">
        <v>1338</v>
      </c>
      <c r="W179" s="97" t="s">
        <v>1339</v>
      </c>
      <c r="X179" s="79" t="s">
        <v>1340</v>
      </c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</row>
    <row r="180" ht="19.5" customHeight="1">
      <c r="A180" s="79">
        <v>169.0</v>
      </c>
      <c r="B180" s="80" t="s">
        <v>28</v>
      </c>
      <c r="C180" s="80" t="s">
        <v>1332</v>
      </c>
      <c r="D180" s="80" t="s">
        <v>1007</v>
      </c>
      <c r="E180" s="81" t="s">
        <v>1341</v>
      </c>
      <c r="F180" s="80" t="s">
        <v>91</v>
      </c>
      <c r="G180" s="80" t="s">
        <v>42</v>
      </c>
      <c r="H180" s="80" t="s">
        <v>21</v>
      </c>
      <c r="I180" s="80" t="s">
        <v>1335</v>
      </c>
      <c r="J180" s="80" t="s">
        <v>45</v>
      </c>
      <c r="K180" s="80" t="s">
        <v>1336</v>
      </c>
      <c r="L180" s="82" t="s">
        <v>1342</v>
      </c>
      <c r="M180" s="83">
        <f t="shared" si="1"/>
        <v>410</v>
      </c>
      <c r="N180" s="84">
        <v>410.0</v>
      </c>
      <c r="O180" s="84"/>
      <c r="P180" s="84"/>
      <c r="Q180" s="94">
        <v>17713.0</v>
      </c>
      <c r="R180" s="94">
        <v>4724.0</v>
      </c>
      <c r="S180" s="95" t="s">
        <v>724</v>
      </c>
      <c r="T180" s="94">
        <v>1.0</v>
      </c>
      <c r="U180" s="96">
        <v>36039.0</v>
      </c>
      <c r="V180" s="97" t="s">
        <v>1343</v>
      </c>
      <c r="W180" s="97" t="s">
        <v>1344</v>
      </c>
      <c r="X180" s="79" t="s">
        <v>1340</v>
      </c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  <c r="AR180" s="88"/>
    </row>
    <row r="181" ht="19.5" customHeight="1">
      <c r="A181" s="79">
        <v>170.0</v>
      </c>
      <c r="B181" s="80" t="s">
        <v>28</v>
      </c>
      <c r="C181" s="80" t="s">
        <v>962</v>
      </c>
      <c r="D181" s="80" t="s">
        <v>1345</v>
      </c>
      <c r="E181" s="81" t="s">
        <v>1346</v>
      </c>
      <c r="F181" s="80" t="s">
        <v>91</v>
      </c>
      <c r="G181" s="80" t="s">
        <v>46</v>
      </c>
      <c r="H181" s="80" t="s">
        <v>21</v>
      </c>
      <c r="I181" s="80" t="s">
        <v>965</v>
      </c>
      <c r="J181" s="80" t="s">
        <v>45</v>
      </c>
      <c r="K181" s="80" t="s">
        <v>1347</v>
      </c>
      <c r="L181" s="82" t="s">
        <v>1348</v>
      </c>
      <c r="M181" s="83">
        <f t="shared" si="1"/>
        <v>752</v>
      </c>
      <c r="N181" s="84">
        <v>500.0</v>
      </c>
      <c r="O181" s="84">
        <v>252.0</v>
      </c>
      <c r="P181" s="84">
        <v>0.0</v>
      </c>
      <c r="Q181" s="94">
        <v>49178.0</v>
      </c>
      <c r="R181" s="94">
        <v>4413.0</v>
      </c>
      <c r="S181" s="95" t="s">
        <v>291</v>
      </c>
      <c r="T181" s="94">
        <v>3.0</v>
      </c>
      <c r="U181" s="96">
        <v>35216.0</v>
      </c>
      <c r="V181" s="97" t="s">
        <v>1349</v>
      </c>
      <c r="W181" s="97" t="s">
        <v>1350</v>
      </c>
      <c r="X181" s="79" t="s">
        <v>1351</v>
      </c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  <c r="AQ181" s="88"/>
      <c r="AR181" s="88"/>
    </row>
    <row r="182" ht="19.5" customHeight="1">
      <c r="A182" s="79">
        <v>171.0</v>
      </c>
      <c r="B182" s="80" t="s">
        <v>28</v>
      </c>
      <c r="C182" s="80" t="s">
        <v>962</v>
      </c>
      <c r="D182" s="80" t="s">
        <v>1352</v>
      </c>
      <c r="E182" s="81" t="s">
        <v>1353</v>
      </c>
      <c r="F182" s="80" t="s">
        <v>81</v>
      </c>
      <c r="G182" s="80" t="s">
        <v>42</v>
      </c>
      <c r="H182" s="80" t="s">
        <v>21</v>
      </c>
      <c r="I182" s="80" t="s">
        <v>1354</v>
      </c>
      <c r="J182" s="80" t="s">
        <v>45</v>
      </c>
      <c r="K182" s="80" t="s">
        <v>1355</v>
      </c>
      <c r="L182" s="82" t="s">
        <v>1356</v>
      </c>
      <c r="M182" s="83">
        <f t="shared" si="1"/>
        <v>500</v>
      </c>
      <c r="N182" s="84">
        <v>500.0</v>
      </c>
      <c r="O182" s="84"/>
      <c r="P182" s="84"/>
      <c r="Q182" s="94">
        <v>5014.2</v>
      </c>
      <c r="R182" s="94">
        <v>13574.0</v>
      </c>
      <c r="S182" s="95" t="s">
        <v>1357</v>
      </c>
      <c r="T182" s="94">
        <v>1.0</v>
      </c>
      <c r="U182" s="96">
        <v>42082.0</v>
      </c>
      <c r="V182" s="97" t="s">
        <v>1358</v>
      </c>
      <c r="W182" s="97" t="s">
        <v>1359</v>
      </c>
      <c r="X182" s="79" t="s">
        <v>1360</v>
      </c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</row>
    <row r="183" ht="19.5" customHeight="1">
      <c r="A183" s="79">
        <v>172.0</v>
      </c>
      <c r="B183" s="80" t="s">
        <v>28</v>
      </c>
      <c r="C183" s="80" t="s">
        <v>808</v>
      </c>
      <c r="D183" s="80" t="s">
        <v>1361</v>
      </c>
      <c r="E183" s="81" t="s">
        <v>1362</v>
      </c>
      <c r="F183" s="80" t="s">
        <v>81</v>
      </c>
      <c r="G183" s="80" t="s">
        <v>42</v>
      </c>
      <c r="H183" s="80" t="s">
        <v>21</v>
      </c>
      <c r="I183" s="80" t="s">
        <v>1354</v>
      </c>
      <c r="J183" s="80" t="s">
        <v>45</v>
      </c>
      <c r="K183" s="80" t="s">
        <v>1363</v>
      </c>
      <c r="L183" s="82" t="s">
        <v>1364</v>
      </c>
      <c r="M183" s="83">
        <f t="shared" si="1"/>
        <v>1500</v>
      </c>
      <c r="N183" s="84">
        <v>1500.0</v>
      </c>
      <c r="O183" s="84"/>
      <c r="P183" s="84"/>
      <c r="Q183" s="94">
        <v>45415.0</v>
      </c>
      <c r="R183" s="94">
        <v>11217.23</v>
      </c>
      <c r="S183" s="95" t="s">
        <v>1254</v>
      </c>
      <c r="T183" s="94">
        <v>1.0</v>
      </c>
      <c r="U183" s="96">
        <v>35602.0</v>
      </c>
      <c r="V183" s="97" t="s">
        <v>1365</v>
      </c>
      <c r="W183" s="97" t="s">
        <v>1366</v>
      </c>
      <c r="X183" s="79" t="s">
        <v>1367</v>
      </c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</row>
    <row r="184" ht="19.5" customHeight="1">
      <c r="A184" s="79">
        <v>173.0</v>
      </c>
      <c r="B184" s="80" t="s">
        <v>28</v>
      </c>
      <c r="C184" s="80" t="s">
        <v>808</v>
      </c>
      <c r="D184" s="80" t="s">
        <v>1368</v>
      </c>
      <c r="E184" s="81" t="s">
        <v>378</v>
      </c>
      <c r="F184" s="80" t="s">
        <v>91</v>
      </c>
      <c r="G184" s="80" t="s">
        <v>44</v>
      </c>
      <c r="H184" s="80" t="s">
        <v>21</v>
      </c>
      <c r="I184" s="80" t="s">
        <v>811</v>
      </c>
      <c r="J184" s="80" t="s">
        <v>45</v>
      </c>
      <c r="K184" s="80" t="s">
        <v>1369</v>
      </c>
      <c r="L184" s="82" t="s">
        <v>1370</v>
      </c>
      <c r="M184" s="83">
        <f t="shared" si="1"/>
        <v>100</v>
      </c>
      <c r="N184" s="84">
        <v>100.0</v>
      </c>
      <c r="O184" s="84">
        <v>0.0</v>
      </c>
      <c r="P184" s="84">
        <v>0.0</v>
      </c>
      <c r="Q184" s="94">
        <v>239.4</v>
      </c>
      <c r="R184" s="94">
        <v>491.6</v>
      </c>
      <c r="S184" s="95" t="s">
        <v>103</v>
      </c>
      <c r="T184" s="94">
        <v>1.0</v>
      </c>
      <c r="U184" s="96">
        <v>42671.0</v>
      </c>
      <c r="V184" s="97" t="s">
        <v>1371</v>
      </c>
      <c r="W184" s="97" t="s">
        <v>1372</v>
      </c>
      <c r="X184" s="79" t="s">
        <v>1373</v>
      </c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</row>
    <row r="185" ht="19.5" customHeight="1">
      <c r="A185" s="79">
        <v>174.0</v>
      </c>
      <c r="B185" s="80" t="s">
        <v>28</v>
      </c>
      <c r="C185" s="80" t="s">
        <v>808</v>
      </c>
      <c r="D185" s="80" t="s">
        <v>1374</v>
      </c>
      <c r="E185" s="81" t="s">
        <v>1375</v>
      </c>
      <c r="F185" s="80" t="s">
        <v>91</v>
      </c>
      <c r="G185" s="80" t="s">
        <v>44</v>
      </c>
      <c r="H185" s="80" t="s">
        <v>21</v>
      </c>
      <c r="I185" s="80" t="s">
        <v>811</v>
      </c>
      <c r="J185" s="80" t="s">
        <v>45</v>
      </c>
      <c r="K185" s="80" t="s">
        <v>1376</v>
      </c>
      <c r="L185" s="82" t="s">
        <v>1377</v>
      </c>
      <c r="M185" s="83">
        <f t="shared" si="1"/>
        <v>60</v>
      </c>
      <c r="N185" s="84">
        <v>60.0</v>
      </c>
      <c r="O185" s="84">
        <v>0.0</v>
      </c>
      <c r="P185" s="84">
        <v>0.0</v>
      </c>
      <c r="Q185" s="94">
        <v>303.9</v>
      </c>
      <c r="R185" s="94">
        <v>303.9</v>
      </c>
      <c r="S185" s="95" t="s">
        <v>1378</v>
      </c>
      <c r="T185" s="94">
        <v>1.0</v>
      </c>
      <c r="U185" s="96">
        <v>43131.0</v>
      </c>
      <c r="V185" s="97" t="s">
        <v>1379</v>
      </c>
      <c r="W185" s="97" t="s">
        <v>1380</v>
      </c>
      <c r="X185" s="79" t="s">
        <v>1381</v>
      </c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</row>
    <row r="186" ht="19.5" customHeight="1">
      <c r="A186" s="79">
        <v>175.0</v>
      </c>
      <c r="B186" s="95" t="s">
        <v>28</v>
      </c>
      <c r="C186" s="95" t="s">
        <v>808</v>
      </c>
      <c r="D186" s="95" t="s">
        <v>1382</v>
      </c>
      <c r="E186" s="100" t="s">
        <v>1383</v>
      </c>
      <c r="F186" s="95" t="s">
        <v>91</v>
      </c>
      <c r="G186" s="80" t="s">
        <v>44</v>
      </c>
      <c r="H186" s="80" t="s">
        <v>21</v>
      </c>
      <c r="I186" s="95" t="s">
        <v>811</v>
      </c>
      <c r="J186" s="80" t="s">
        <v>45</v>
      </c>
      <c r="K186" s="95" t="s">
        <v>1384</v>
      </c>
      <c r="L186" s="82" t="s">
        <v>1385</v>
      </c>
      <c r="M186" s="83">
        <f t="shared" si="1"/>
        <v>100</v>
      </c>
      <c r="N186" s="84">
        <v>100.0</v>
      </c>
      <c r="O186" s="84">
        <v>0.0</v>
      </c>
      <c r="P186" s="84">
        <v>0.0</v>
      </c>
      <c r="Q186" s="94">
        <v>210.3</v>
      </c>
      <c r="R186" s="94">
        <v>279.726</v>
      </c>
      <c r="S186" s="95" t="s">
        <v>1378</v>
      </c>
      <c r="T186" s="94">
        <v>1.0</v>
      </c>
      <c r="U186" s="96">
        <v>43466.0</v>
      </c>
      <c r="V186" s="97" t="s">
        <v>1386</v>
      </c>
      <c r="W186" s="97" t="s">
        <v>1387</v>
      </c>
      <c r="X186" s="79" t="s">
        <v>1388</v>
      </c>
      <c r="Y186" s="98"/>
      <c r="Z186" s="98"/>
      <c r="AA186" s="98"/>
      <c r="AB186" s="98"/>
      <c r="AC186" s="98"/>
      <c r="AD186" s="98"/>
      <c r="AE186" s="98"/>
      <c r="AF186" s="98"/>
      <c r="AG186" s="98"/>
      <c r="AH186" s="98"/>
      <c r="AI186" s="98"/>
      <c r="AJ186" s="98"/>
      <c r="AK186" s="98"/>
      <c r="AL186" s="98"/>
      <c r="AM186" s="98"/>
      <c r="AN186" s="98"/>
      <c r="AO186" s="98"/>
      <c r="AP186" s="98"/>
      <c r="AQ186" s="98"/>
      <c r="AR186" s="98"/>
    </row>
    <row r="187" ht="19.5" customHeight="1">
      <c r="A187" s="79">
        <v>176.0</v>
      </c>
      <c r="B187" s="80" t="s">
        <v>28</v>
      </c>
      <c r="C187" s="80" t="s">
        <v>808</v>
      </c>
      <c r="D187" s="80" t="s">
        <v>1368</v>
      </c>
      <c r="E187" s="81" t="s">
        <v>1389</v>
      </c>
      <c r="F187" s="80" t="s">
        <v>91</v>
      </c>
      <c r="G187" s="80" t="s">
        <v>44</v>
      </c>
      <c r="H187" s="80" t="s">
        <v>21</v>
      </c>
      <c r="I187" s="80" t="s">
        <v>811</v>
      </c>
      <c r="J187" s="80" t="s">
        <v>45</v>
      </c>
      <c r="K187" s="80" t="s">
        <v>1390</v>
      </c>
      <c r="L187" s="82" t="s">
        <v>1391</v>
      </c>
      <c r="M187" s="83">
        <f t="shared" si="1"/>
        <v>200</v>
      </c>
      <c r="N187" s="84">
        <v>200.0</v>
      </c>
      <c r="O187" s="84">
        <v>0.0</v>
      </c>
      <c r="P187" s="84">
        <v>0.0</v>
      </c>
      <c r="Q187" s="94">
        <v>20295.0</v>
      </c>
      <c r="R187" s="94">
        <v>1329.26</v>
      </c>
      <c r="S187" s="95" t="s">
        <v>291</v>
      </c>
      <c r="T187" s="94">
        <v>1.0</v>
      </c>
      <c r="U187" s="96">
        <v>37943.0</v>
      </c>
      <c r="V187" s="97" t="s">
        <v>1392</v>
      </c>
      <c r="W187" s="97" t="s">
        <v>1393</v>
      </c>
      <c r="X187" s="79" t="s">
        <v>1394</v>
      </c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</row>
    <row r="188" ht="19.5" customHeight="1">
      <c r="A188" s="79">
        <v>177.0</v>
      </c>
      <c r="B188" s="80" t="s">
        <v>28</v>
      </c>
      <c r="C188" s="80" t="s">
        <v>808</v>
      </c>
      <c r="D188" s="80" t="s">
        <v>1395</v>
      </c>
      <c r="E188" s="81" t="s">
        <v>1396</v>
      </c>
      <c r="F188" s="80" t="s">
        <v>91</v>
      </c>
      <c r="G188" s="80" t="s">
        <v>44</v>
      </c>
      <c r="H188" s="80" t="s">
        <v>21</v>
      </c>
      <c r="I188" s="80" t="s">
        <v>811</v>
      </c>
      <c r="J188" s="80" t="s">
        <v>45</v>
      </c>
      <c r="K188" s="80" t="s">
        <v>1397</v>
      </c>
      <c r="L188" s="82" t="s">
        <v>1398</v>
      </c>
      <c r="M188" s="83">
        <f t="shared" si="1"/>
        <v>100</v>
      </c>
      <c r="N188" s="84">
        <v>100.0</v>
      </c>
      <c r="O188" s="84">
        <v>0.0</v>
      </c>
      <c r="P188" s="84">
        <v>0.0</v>
      </c>
      <c r="Q188" s="94">
        <v>231.0</v>
      </c>
      <c r="R188" s="94">
        <v>321.35</v>
      </c>
      <c r="S188" s="95" t="s">
        <v>291</v>
      </c>
      <c r="T188" s="94">
        <v>1.0</v>
      </c>
      <c r="U188" s="96">
        <v>38652.0</v>
      </c>
      <c r="V188" s="97" t="s">
        <v>1399</v>
      </c>
      <c r="W188" s="97" t="s">
        <v>1400</v>
      </c>
      <c r="X188" s="79" t="s">
        <v>1401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  <c r="AQ188" s="88"/>
      <c r="AR188" s="88"/>
    </row>
    <row r="189" ht="19.5" customHeight="1">
      <c r="A189" s="79">
        <v>178.0</v>
      </c>
      <c r="B189" s="80" t="s">
        <v>28</v>
      </c>
      <c r="C189" s="80" t="s">
        <v>1402</v>
      </c>
      <c r="D189" s="80" t="s">
        <v>1403</v>
      </c>
      <c r="E189" s="81" t="s">
        <v>1404</v>
      </c>
      <c r="F189" s="80" t="s">
        <v>91</v>
      </c>
      <c r="G189" s="80" t="s">
        <v>42</v>
      </c>
      <c r="H189" s="80" t="s">
        <v>21</v>
      </c>
      <c r="I189" s="80" t="s">
        <v>1405</v>
      </c>
      <c r="J189" s="80" t="s">
        <v>45</v>
      </c>
      <c r="K189" s="80" t="s">
        <v>1406</v>
      </c>
      <c r="L189" s="82" t="s">
        <v>1407</v>
      </c>
      <c r="M189" s="83">
        <f t="shared" si="1"/>
        <v>480</v>
      </c>
      <c r="N189" s="84">
        <v>480.0</v>
      </c>
      <c r="O189" s="84">
        <v>0.0</v>
      </c>
      <c r="P189" s="84">
        <v>0.0</v>
      </c>
      <c r="Q189" s="94">
        <v>3593.0</v>
      </c>
      <c r="R189" s="94">
        <v>5165.0</v>
      </c>
      <c r="S189" s="95" t="s">
        <v>103</v>
      </c>
      <c r="T189" s="94">
        <v>1.0</v>
      </c>
      <c r="U189" s="96">
        <v>42493.0</v>
      </c>
      <c r="V189" s="97" t="s">
        <v>1408</v>
      </c>
      <c r="W189" s="97" t="s">
        <v>1409</v>
      </c>
      <c r="X189" s="79" t="s">
        <v>1410</v>
      </c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  <c r="AQ189" s="88"/>
      <c r="AR189" s="88"/>
    </row>
    <row r="190" ht="19.5" customHeight="1">
      <c r="A190" s="79">
        <v>179.0</v>
      </c>
      <c r="B190" s="80" t="s">
        <v>28</v>
      </c>
      <c r="C190" s="80" t="s">
        <v>1402</v>
      </c>
      <c r="D190" s="80" t="s">
        <v>1411</v>
      </c>
      <c r="E190" s="81" t="s">
        <v>1412</v>
      </c>
      <c r="F190" s="80" t="s">
        <v>91</v>
      </c>
      <c r="G190" s="80" t="s">
        <v>44</v>
      </c>
      <c r="H190" s="80" t="s">
        <v>21</v>
      </c>
      <c r="I190" s="80" t="s">
        <v>1405</v>
      </c>
      <c r="J190" s="80" t="s">
        <v>45</v>
      </c>
      <c r="K190" s="80" t="s">
        <v>1406</v>
      </c>
      <c r="L190" s="82" t="s">
        <v>1413</v>
      </c>
      <c r="M190" s="83">
        <f t="shared" si="1"/>
        <v>81</v>
      </c>
      <c r="N190" s="84">
        <v>81.0</v>
      </c>
      <c r="O190" s="84">
        <v>0.0</v>
      </c>
      <c r="P190" s="84">
        <v>0.0</v>
      </c>
      <c r="Q190" s="94">
        <v>500.85</v>
      </c>
      <c r="R190" s="94">
        <v>500.85</v>
      </c>
      <c r="S190" s="95" t="s">
        <v>1414</v>
      </c>
      <c r="T190" s="94">
        <v>1.0</v>
      </c>
      <c r="U190" s="96">
        <v>37408.0</v>
      </c>
      <c r="V190" s="97" t="s">
        <v>1415</v>
      </c>
      <c r="W190" s="97" t="s">
        <v>1416</v>
      </c>
      <c r="X190" s="79" t="s">
        <v>1417</v>
      </c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  <c r="AQ190" s="88"/>
      <c r="AR190" s="88"/>
    </row>
    <row r="191" ht="19.5" customHeight="1">
      <c r="A191" s="79">
        <v>180.0</v>
      </c>
      <c r="B191" s="91" t="s">
        <v>28</v>
      </c>
      <c r="C191" s="91" t="s">
        <v>1402</v>
      </c>
      <c r="D191" s="91" t="s">
        <v>1037</v>
      </c>
      <c r="E191" s="92" t="s">
        <v>1418</v>
      </c>
      <c r="F191" s="91" t="s">
        <v>91</v>
      </c>
      <c r="G191" s="80" t="s">
        <v>44</v>
      </c>
      <c r="H191" s="80" t="s">
        <v>21</v>
      </c>
      <c r="I191" s="91" t="s">
        <v>1405</v>
      </c>
      <c r="J191" s="80" t="s">
        <v>45</v>
      </c>
      <c r="K191" s="79" t="s">
        <v>1406</v>
      </c>
      <c r="L191" s="93" t="s">
        <v>1419</v>
      </c>
      <c r="M191" s="83">
        <f t="shared" si="1"/>
        <v>75</v>
      </c>
      <c r="N191" s="84">
        <v>75.0</v>
      </c>
      <c r="O191" s="84">
        <v>0.0</v>
      </c>
      <c r="P191" s="84">
        <v>0.0</v>
      </c>
      <c r="Q191" s="94">
        <v>1394.0</v>
      </c>
      <c r="R191" s="94">
        <v>955.8</v>
      </c>
      <c r="S191" s="95" t="s">
        <v>350</v>
      </c>
      <c r="T191" s="94">
        <v>1.0</v>
      </c>
      <c r="U191" s="96">
        <v>44852.0</v>
      </c>
      <c r="V191" s="97" t="s">
        <v>1420</v>
      </c>
      <c r="W191" s="97"/>
      <c r="X191" s="79" t="s">
        <v>1421</v>
      </c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  <c r="AQ191" s="88"/>
      <c r="AR191" s="88"/>
    </row>
    <row r="192" ht="19.5" customHeight="1">
      <c r="A192" s="79">
        <v>181.0</v>
      </c>
      <c r="B192" s="80" t="s">
        <v>28</v>
      </c>
      <c r="C192" s="80" t="s">
        <v>626</v>
      </c>
      <c r="D192" s="80" t="s">
        <v>1422</v>
      </c>
      <c r="E192" s="81" t="s">
        <v>1423</v>
      </c>
      <c r="F192" s="80" t="s">
        <v>81</v>
      </c>
      <c r="G192" s="80" t="s">
        <v>46</v>
      </c>
      <c r="H192" s="80" t="s">
        <v>21</v>
      </c>
      <c r="I192" s="80" t="s">
        <v>1354</v>
      </c>
      <c r="J192" s="80" t="s">
        <v>45</v>
      </c>
      <c r="K192" s="80" t="s">
        <v>1424</v>
      </c>
      <c r="L192" s="82" t="s">
        <v>1425</v>
      </c>
      <c r="M192" s="83">
        <f t="shared" si="1"/>
        <v>496</v>
      </c>
      <c r="N192" s="84"/>
      <c r="O192" s="84">
        <v>496.0</v>
      </c>
      <c r="P192" s="84">
        <v>0.0</v>
      </c>
      <c r="Q192" s="94">
        <v>101812.0</v>
      </c>
      <c r="R192" s="94">
        <v>6761.0</v>
      </c>
      <c r="S192" s="95" t="s">
        <v>103</v>
      </c>
      <c r="T192" s="94">
        <v>9.0</v>
      </c>
      <c r="U192" s="96">
        <v>34716.0</v>
      </c>
      <c r="V192" s="97" t="s">
        <v>1426</v>
      </c>
      <c r="W192" s="97" t="s">
        <v>1427</v>
      </c>
      <c r="X192" s="79" t="s">
        <v>1428</v>
      </c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  <c r="AR192" s="88"/>
    </row>
    <row r="193" ht="19.5" customHeight="1">
      <c r="A193" s="79">
        <v>182.0</v>
      </c>
      <c r="B193" s="80" t="s">
        <v>28</v>
      </c>
      <c r="C193" s="80" t="s">
        <v>626</v>
      </c>
      <c r="D193" s="80" t="s">
        <v>1429</v>
      </c>
      <c r="E193" s="81" t="s">
        <v>1430</v>
      </c>
      <c r="F193" s="80" t="s">
        <v>91</v>
      </c>
      <c r="G193" s="80" t="s">
        <v>44</v>
      </c>
      <c r="H193" s="80" t="s">
        <v>21</v>
      </c>
      <c r="I193" s="80" t="s">
        <v>637</v>
      </c>
      <c r="J193" s="80" t="s">
        <v>45</v>
      </c>
      <c r="K193" s="80" t="s">
        <v>1431</v>
      </c>
      <c r="L193" s="82" t="s">
        <v>1432</v>
      </c>
      <c r="M193" s="83">
        <f t="shared" si="1"/>
        <v>80</v>
      </c>
      <c r="N193" s="84">
        <v>80.0</v>
      </c>
      <c r="O193" s="84">
        <v>0.0</v>
      </c>
      <c r="P193" s="84">
        <v>0.0</v>
      </c>
      <c r="Q193" s="94">
        <v>1010.0</v>
      </c>
      <c r="R193" s="94">
        <v>424.0</v>
      </c>
      <c r="S193" s="95" t="s">
        <v>885</v>
      </c>
      <c r="T193" s="94">
        <v>1.0</v>
      </c>
      <c r="U193" s="96">
        <v>37664.0</v>
      </c>
      <c r="V193" s="97" t="s">
        <v>1433</v>
      </c>
      <c r="W193" s="97" t="s">
        <v>1434</v>
      </c>
      <c r="X193" s="79" t="s">
        <v>1435</v>
      </c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  <c r="AQ193" s="88"/>
      <c r="AR193" s="88"/>
    </row>
    <row r="194" ht="19.5" customHeight="1">
      <c r="A194" s="79">
        <v>183.0</v>
      </c>
      <c r="B194" s="80" t="s">
        <v>29</v>
      </c>
      <c r="C194" s="80" t="s">
        <v>708</v>
      </c>
      <c r="D194" s="80" t="s">
        <v>1436</v>
      </c>
      <c r="E194" s="81" t="s">
        <v>1437</v>
      </c>
      <c r="F194" s="80" t="s">
        <v>91</v>
      </c>
      <c r="G194" s="80" t="s">
        <v>44</v>
      </c>
      <c r="H194" s="80" t="s">
        <v>21</v>
      </c>
      <c r="I194" s="80" t="s">
        <v>904</v>
      </c>
      <c r="J194" s="80" t="s">
        <v>45</v>
      </c>
      <c r="K194" s="80" t="s">
        <v>1438</v>
      </c>
      <c r="L194" s="82" t="s">
        <v>1439</v>
      </c>
      <c r="M194" s="83">
        <f t="shared" si="1"/>
        <v>150</v>
      </c>
      <c r="N194" s="84">
        <v>150.0</v>
      </c>
      <c r="O194" s="84">
        <v>0.0</v>
      </c>
      <c r="P194" s="84">
        <v>0.0</v>
      </c>
      <c r="Q194" s="94">
        <v>264.0</v>
      </c>
      <c r="R194" s="94">
        <v>1224.71</v>
      </c>
      <c r="S194" s="95" t="s">
        <v>1440</v>
      </c>
      <c r="T194" s="94">
        <v>1.0</v>
      </c>
      <c r="U194" s="96">
        <v>37072.0</v>
      </c>
      <c r="V194" s="97" t="s">
        <v>1441</v>
      </c>
      <c r="W194" s="97" t="s">
        <v>1442</v>
      </c>
      <c r="X194" s="79" t="s">
        <v>1443</v>
      </c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  <c r="AQ194" s="88"/>
      <c r="AR194" s="88"/>
    </row>
    <row r="195" ht="19.5" customHeight="1">
      <c r="A195" s="79">
        <v>184.0</v>
      </c>
      <c r="B195" s="80" t="s">
        <v>29</v>
      </c>
      <c r="C195" s="80" t="s">
        <v>708</v>
      </c>
      <c r="D195" s="80" t="s">
        <v>525</v>
      </c>
      <c r="E195" s="81" t="s">
        <v>1444</v>
      </c>
      <c r="F195" s="80" t="s">
        <v>91</v>
      </c>
      <c r="G195" s="80" t="s">
        <v>44</v>
      </c>
      <c r="H195" s="80" t="s">
        <v>21</v>
      </c>
      <c r="I195" s="80" t="s">
        <v>904</v>
      </c>
      <c r="J195" s="80" t="s">
        <v>45</v>
      </c>
      <c r="K195" s="80" t="s">
        <v>1445</v>
      </c>
      <c r="L195" s="82" t="s">
        <v>1446</v>
      </c>
      <c r="M195" s="83">
        <f t="shared" si="1"/>
        <v>100</v>
      </c>
      <c r="N195" s="84">
        <v>100.0</v>
      </c>
      <c r="O195" s="84">
        <v>0.0</v>
      </c>
      <c r="P195" s="84">
        <v>0.0</v>
      </c>
      <c r="Q195" s="94">
        <v>227.0</v>
      </c>
      <c r="R195" s="94">
        <v>415.5</v>
      </c>
      <c r="S195" s="95" t="s">
        <v>350</v>
      </c>
      <c r="T195" s="94">
        <v>1.0</v>
      </c>
      <c r="U195" s="96">
        <v>38113.0</v>
      </c>
      <c r="V195" s="97" t="s">
        <v>1447</v>
      </c>
      <c r="W195" s="97" t="s">
        <v>1448</v>
      </c>
      <c r="X195" s="79" t="s">
        <v>1449</v>
      </c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  <c r="AR195" s="88"/>
    </row>
    <row r="196" ht="19.5" customHeight="1">
      <c r="A196" s="79">
        <v>185.0</v>
      </c>
      <c r="B196" s="79" t="s">
        <v>29</v>
      </c>
      <c r="C196" s="79" t="s">
        <v>708</v>
      </c>
      <c r="D196" s="79" t="s">
        <v>1450</v>
      </c>
      <c r="E196" s="102" t="s">
        <v>1451</v>
      </c>
      <c r="F196" s="79" t="s">
        <v>91</v>
      </c>
      <c r="G196" s="80" t="s">
        <v>42</v>
      </c>
      <c r="H196" s="80" t="s">
        <v>21</v>
      </c>
      <c r="I196" s="79" t="s">
        <v>904</v>
      </c>
      <c r="J196" s="80" t="s">
        <v>45</v>
      </c>
      <c r="K196" s="79" t="s">
        <v>1445</v>
      </c>
      <c r="L196" s="82" t="s">
        <v>1452</v>
      </c>
      <c r="M196" s="83">
        <f t="shared" si="1"/>
        <v>400</v>
      </c>
      <c r="N196" s="84">
        <v>400.0</v>
      </c>
      <c r="O196" s="84">
        <v>0.0</v>
      </c>
      <c r="P196" s="84">
        <v>0.0</v>
      </c>
      <c r="Q196" s="94">
        <v>3847.0</v>
      </c>
      <c r="R196" s="94">
        <v>2957.56</v>
      </c>
      <c r="S196" s="95" t="s">
        <v>194</v>
      </c>
      <c r="T196" s="94">
        <v>1.0</v>
      </c>
      <c r="U196" s="96">
        <v>43670.0</v>
      </c>
      <c r="V196" s="97" t="s">
        <v>1453</v>
      </c>
      <c r="W196" s="97" t="s">
        <v>1454</v>
      </c>
      <c r="X196" s="79" t="s">
        <v>1455</v>
      </c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  <c r="AQ196" s="88"/>
      <c r="AR196" s="88"/>
    </row>
    <row r="197" ht="19.5" customHeight="1">
      <c r="A197" s="79">
        <v>186.0</v>
      </c>
      <c r="B197" s="80" t="s">
        <v>29</v>
      </c>
      <c r="C197" s="80" t="s">
        <v>962</v>
      </c>
      <c r="D197" s="80" t="s">
        <v>1456</v>
      </c>
      <c r="E197" s="81" t="s">
        <v>1457</v>
      </c>
      <c r="F197" s="80" t="s">
        <v>91</v>
      </c>
      <c r="G197" s="80" t="s">
        <v>44</v>
      </c>
      <c r="H197" s="80" t="s">
        <v>21</v>
      </c>
      <c r="I197" s="80" t="s">
        <v>965</v>
      </c>
      <c r="J197" s="80" t="s">
        <v>45</v>
      </c>
      <c r="K197" s="80" t="s">
        <v>1458</v>
      </c>
      <c r="L197" s="82" t="s">
        <v>1459</v>
      </c>
      <c r="M197" s="83">
        <f t="shared" si="1"/>
        <v>120</v>
      </c>
      <c r="N197" s="84">
        <v>120.0</v>
      </c>
      <c r="O197" s="84">
        <v>0.0</v>
      </c>
      <c r="P197" s="84">
        <v>0.0</v>
      </c>
      <c r="Q197" s="94">
        <v>430.0</v>
      </c>
      <c r="R197" s="94">
        <v>965.27</v>
      </c>
      <c r="S197" s="95" t="s">
        <v>1460</v>
      </c>
      <c r="T197" s="94">
        <v>1.0</v>
      </c>
      <c r="U197" s="96">
        <v>38608.0</v>
      </c>
      <c r="V197" s="97" t="s">
        <v>1461</v>
      </c>
      <c r="W197" s="97" t="s">
        <v>1462</v>
      </c>
      <c r="X197" s="79" t="s">
        <v>1463</v>
      </c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  <c r="AQ197" s="88"/>
      <c r="AR197" s="88"/>
    </row>
    <row r="198" ht="19.5" customHeight="1">
      <c r="A198" s="79">
        <v>187.0</v>
      </c>
      <c r="B198" s="80" t="s">
        <v>29</v>
      </c>
      <c r="C198" s="80" t="s">
        <v>962</v>
      </c>
      <c r="D198" s="80" t="s">
        <v>1321</v>
      </c>
      <c r="E198" s="81" t="s">
        <v>1464</v>
      </c>
      <c r="F198" s="80" t="s">
        <v>91</v>
      </c>
      <c r="G198" s="80" t="s">
        <v>44</v>
      </c>
      <c r="H198" s="80" t="s">
        <v>21</v>
      </c>
      <c r="I198" s="80" t="s">
        <v>965</v>
      </c>
      <c r="J198" s="80" t="s">
        <v>45</v>
      </c>
      <c r="K198" s="80" t="s">
        <v>1465</v>
      </c>
      <c r="L198" s="82" t="s">
        <v>1466</v>
      </c>
      <c r="M198" s="83">
        <f t="shared" si="1"/>
        <v>150</v>
      </c>
      <c r="N198" s="84">
        <v>150.0</v>
      </c>
      <c r="O198" s="84">
        <v>0.0</v>
      </c>
      <c r="P198" s="84">
        <v>0.0</v>
      </c>
      <c r="Q198" s="94">
        <v>5600.0</v>
      </c>
      <c r="R198" s="94">
        <v>974.0</v>
      </c>
      <c r="S198" s="95" t="s">
        <v>314</v>
      </c>
      <c r="T198" s="94">
        <v>1.0</v>
      </c>
      <c r="U198" s="96">
        <v>37289.0</v>
      </c>
      <c r="V198" s="97" t="s">
        <v>1467</v>
      </c>
      <c r="W198" s="97" t="s">
        <v>1468</v>
      </c>
      <c r="X198" s="79" t="s">
        <v>1469</v>
      </c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  <c r="AQ198" s="88"/>
      <c r="AR198" s="88"/>
    </row>
    <row r="199" ht="19.5" customHeight="1">
      <c r="A199" s="79">
        <v>188.0</v>
      </c>
      <c r="B199" s="80" t="s">
        <v>29</v>
      </c>
      <c r="C199" s="80" t="s">
        <v>765</v>
      </c>
      <c r="D199" s="80" t="s">
        <v>1470</v>
      </c>
      <c r="E199" s="81" t="s">
        <v>1471</v>
      </c>
      <c r="F199" s="80" t="s">
        <v>91</v>
      </c>
      <c r="G199" s="80" t="s">
        <v>44</v>
      </c>
      <c r="H199" s="80" t="s">
        <v>21</v>
      </c>
      <c r="I199" s="80" t="s">
        <v>775</v>
      </c>
      <c r="J199" s="80" t="s">
        <v>45</v>
      </c>
      <c r="K199" s="80" t="s">
        <v>1472</v>
      </c>
      <c r="L199" s="82" t="s">
        <v>1473</v>
      </c>
      <c r="M199" s="83">
        <f t="shared" si="1"/>
        <v>207</v>
      </c>
      <c r="N199" s="84">
        <v>207.0</v>
      </c>
      <c r="O199" s="84">
        <v>0.0</v>
      </c>
      <c r="P199" s="84">
        <v>0.0</v>
      </c>
      <c r="Q199" s="94">
        <v>591.6</v>
      </c>
      <c r="R199" s="94">
        <v>1585.67</v>
      </c>
      <c r="S199" s="95" t="s">
        <v>194</v>
      </c>
      <c r="T199" s="94">
        <v>1.0</v>
      </c>
      <c r="U199" s="96">
        <v>41673.0</v>
      </c>
      <c r="V199" s="97" t="s">
        <v>1474</v>
      </c>
      <c r="W199" s="97" t="s">
        <v>1475</v>
      </c>
      <c r="X199" s="79" t="s">
        <v>1476</v>
      </c>
      <c r="Y199" s="98"/>
      <c r="Z199" s="98"/>
      <c r="AA199" s="98"/>
      <c r="AB199" s="98"/>
      <c r="AC199" s="98"/>
      <c r="AD199" s="98"/>
      <c r="AE199" s="98"/>
      <c r="AF199" s="98"/>
      <c r="AG199" s="98"/>
      <c r="AH199" s="98"/>
      <c r="AI199" s="98"/>
      <c r="AJ199" s="98"/>
      <c r="AK199" s="98"/>
      <c r="AL199" s="98"/>
      <c r="AM199" s="98"/>
      <c r="AN199" s="98"/>
      <c r="AO199" s="98"/>
      <c r="AP199" s="98"/>
      <c r="AQ199" s="98"/>
      <c r="AR199" s="98"/>
    </row>
    <row r="200" ht="19.5" customHeight="1">
      <c r="A200" s="79">
        <v>189.0</v>
      </c>
      <c r="B200" s="80" t="s">
        <v>29</v>
      </c>
      <c r="C200" s="80" t="s">
        <v>765</v>
      </c>
      <c r="D200" s="80" t="s">
        <v>1477</v>
      </c>
      <c r="E200" s="81" t="s">
        <v>1478</v>
      </c>
      <c r="F200" s="80" t="s">
        <v>91</v>
      </c>
      <c r="G200" s="80" t="s">
        <v>44</v>
      </c>
      <c r="H200" s="80" t="s">
        <v>21</v>
      </c>
      <c r="I200" s="80" t="s">
        <v>775</v>
      </c>
      <c r="J200" s="80" t="s">
        <v>45</v>
      </c>
      <c r="K200" s="80" t="s">
        <v>1445</v>
      </c>
      <c r="L200" s="82" t="s">
        <v>1479</v>
      </c>
      <c r="M200" s="83">
        <f t="shared" si="1"/>
        <v>70</v>
      </c>
      <c r="N200" s="84">
        <v>70.0</v>
      </c>
      <c r="O200" s="84">
        <v>0.0</v>
      </c>
      <c r="P200" s="84">
        <v>0.0</v>
      </c>
      <c r="Q200" s="94">
        <v>547.18</v>
      </c>
      <c r="R200" s="94">
        <v>978.75</v>
      </c>
      <c r="S200" s="95" t="s">
        <v>350</v>
      </c>
      <c r="T200" s="94">
        <v>1.0</v>
      </c>
      <c r="U200" s="96" t="s">
        <v>1480</v>
      </c>
      <c r="V200" s="97" t="s">
        <v>1481</v>
      </c>
      <c r="W200" s="97" t="s">
        <v>1482</v>
      </c>
      <c r="X200" s="79" t="s">
        <v>1483</v>
      </c>
      <c r="Y200" s="98"/>
      <c r="Z200" s="98"/>
      <c r="AA200" s="98"/>
      <c r="AB200" s="98"/>
      <c r="AC200" s="98"/>
      <c r="AD200" s="98"/>
      <c r="AE200" s="98"/>
      <c r="AF200" s="98"/>
      <c r="AG200" s="98"/>
      <c r="AH200" s="98"/>
      <c r="AI200" s="98"/>
      <c r="AJ200" s="98"/>
      <c r="AK200" s="98"/>
      <c r="AL200" s="98"/>
      <c r="AM200" s="98"/>
      <c r="AN200" s="98"/>
      <c r="AO200" s="98"/>
      <c r="AP200" s="98"/>
      <c r="AQ200" s="98"/>
      <c r="AR200" s="98"/>
    </row>
    <row r="201" ht="19.5" customHeight="1">
      <c r="A201" s="79">
        <v>190.0</v>
      </c>
      <c r="B201" s="80" t="s">
        <v>29</v>
      </c>
      <c r="C201" s="80" t="s">
        <v>1484</v>
      </c>
      <c r="D201" s="80" t="s">
        <v>1485</v>
      </c>
      <c r="E201" s="81" t="s">
        <v>1486</v>
      </c>
      <c r="F201" s="80" t="s">
        <v>687</v>
      </c>
      <c r="G201" s="80" t="s">
        <v>42</v>
      </c>
      <c r="H201" s="80" t="s">
        <v>21</v>
      </c>
      <c r="I201" s="80" t="s">
        <v>1487</v>
      </c>
      <c r="J201" s="80" t="s">
        <v>47</v>
      </c>
      <c r="K201" s="80" t="s">
        <v>1488</v>
      </c>
      <c r="L201" s="82" t="s">
        <v>1489</v>
      </c>
      <c r="M201" s="83">
        <f t="shared" si="1"/>
        <v>460</v>
      </c>
      <c r="N201" s="84">
        <v>460.0</v>
      </c>
      <c r="O201" s="84">
        <v>0.0</v>
      </c>
      <c r="P201" s="84">
        <v>0.0</v>
      </c>
      <c r="Q201" s="94">
        <v>9509.0</v>
      </c>
      <c r="R201" s="94">
        <v>5523.0</v>
      </c>
      <c r="S201" s="95" t="s">
        <v>85</v>
      </c>
      <c r="T201" s="94">
        <v>1.0</v>
      </c>
      <c r="U201" s="96">
        <v>40094.0</v>
      </c>
      <c r="V201" s="97" t="s">
        <v>1490</v>
      </c>
      <c r="W201" s="97" t="s">
        <v>1491</v>
      </c>
      <c r="X201" s="79" t="s">
        <v>1492</v>
      </c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  <c r="AQ201" s="88"/>
      <c r="AR201" s="88"/>
    </row>
    <row r="202" ht="19.5" customHeight="1">
      <c r="A202" s="79">
        <v>191.0</v>
      </c>
      <c r="B202" s="80" t="s">
        <v>29</v>
      </c>
      <c r="C202" s="80" t="s">
        <v>1484</v>
      </c>
      <c r="D202" s="80" t="s">
        <v>1493</v>
      </c>
      <c r="E202" s="81" t="s">
        <v>1494</v>
      </c>
      <c r="F202" s="80" t="s">
        <v>22</v>
      </c>
      <c r="G202" s="80" t="s">
        <v>46</v>
      </c>
      <c r="H202" s="80" t="s">
        <v>22</v>
      </c>
      <c r="I202" s="80" t="s">
        <v>1495</v>
      </c>
      <c r="J202" s="80" t="s">
        <v>43</v>
      </c>
      <c r="K202" s="80" t="s">
        <v>1496</v>
      </c>
      <c r="L202" s="82" t="s">
        <v>1497</v>
      </c>
      <c r="M202" s="83">
        <f t="shared" si="1"/>
        <v>100</v>
      </c>
      <c r="N202" s="84">
        <v>0.0</v>
      </c>
      <c r="O202" s="84">
        <v>100.0</v>
      </c>
      <c r="P202" s="84">
        <v>0.0</v>
      </c>
      <c r="Q202" s="94">
        <v>6084.0</v>
      </c>
      <c r="R202" s="94">
        <v>2878.96</v>
      </c>
      <c r="S202" s="95" t="s">
        <v>1498</v>
      </c>
      <c r="T202" s="94">
        <v>8.0</v>
      </c>
      <c r="U202" s="96">
        <v>34125.0</v>
      </c>
      <c r="V202" s="97" t="s">
        <v>1499</v>
      </c>
      <c r="W202" s="97" t="s">
        <v>1500</v>
      </c>
      <c r="X202" s="79" t="s">
        <v>1501</v>
      </c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  <c r="AQ202" s="88"/>
      <c r="AR202" s="88"/>
    </row>
    <row r="203" ht="19.5" customHeight="1">
      <c r="A203" s="79">
        <v>192.0</v>
      </c>
      <c r="B203" s="80" t="s">
        <v>29</v>
      </c>
      <c r="C203" s="80" t="s">
        <v>1484</v>
      </c>
      <c r="D203" s="80" t="s">
        <v>1502</v>
      </c>
      <c r="E203" s="81" t="s">
        <v>1503</v>
      </c>
      <c r="F203" s="80" t="s">
        <v>687</v>
      </c>
      <c r="G203" s="80" t="s">
        <v>42</v>
      </c>
      <c r="H203" s="80" t="s">
        <v>21</v>
      </c>
      <c r="I203" s="80" t="s">
        <v>1487</v>
      </c>
      <c r="J203" s="80" t="s">
        <v>47</v>
      </c>
      <c r="K203" s="80" t="s">
        <v>1488</v>
      </c>
      <c r="L203" s="82" t="s">
        <v>1504</v>
      </c>
      <c r="M203" s="83">
        <f t="shared" si="1"/>
        <v>300</v>
      </c>
      <c r="N203" s="84">
        <v>300.0</v>
      </c>
      <c r="O203" s="84">
        <v>0.0</v>
      </c>
      <c r="P203" s="84">
        <v>0.0</v>
      </c>
      <c r="Q203" s="94">
        <v>2842.0</v>
      </c>
      <c r="R203" s="94">
        <v>2921.0</v>
      </c>
      <c r="S203" s="95" t="s">
        <v>103</v>
      </c>
      <c r="T203" s="94">
        <v>1.0</v>
      </c>
      <c r="U203" s="96">
        <v>43629.0</v>
      </c>
      <c r="V203" s="97" t="s">
        <v>1505</v>
      </c>
      <c r="W203" s="97" t="s">
        <v>1506</v>
      </c>
      <c r="X203" s="79" t="s">
        <v>1507</v>
      </c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  <c r="AQ203" s="88"/>
      <c r="AR203" s="88"/>
    </row>
    <row r="204" ht="19.5" customHeight="1">
      <c r="A204" s="79">
        <v>193.0</v>
      </c>
      <c r="B204" s="79" t="s">
        <v>29</v>
      </c>
      <c r="C204" s="79" t="s">
        <v>1484</v>
      </c>
      <c r="D204" s="79" t="s">
        <v>1493</v>
      </c>
      <c r="E204" s="102" t="s">
        <v>1508</v>
      </c>
      <c r="F204" s="79" t="s">
        <v>687</v>
      </c>
      <c r="G204" s="80" t="s">
        <v>48</v>
      </c>
      <c r="H204" s="80" t="s">
        <v>21</v>
      </c>
      <c r="I204" s="79" t="s">
        <v>1487</v>
      </c>
      <c r="J204" s="80" t="s">
        <v>43</v>
      </c>
      <c r="K204" s="79" t="s">
        <v>1484</v>
      </c>
      <c r="L204" s="93" t="s">
        <v>1509</v>
      </c>
      <c r="M204" s="83">
        <f t="shared" si="1"/>
        <v>664</v>
      </c>
      <c r="N204" s="84">
        <v>140.0</v>
      </c>
      <c r="O204" s="84">
        <v>80.0</v>
      </c>
      <c r="P204" s="84">
        <v>444.0</v>
      </c>
      <c r="Q204" s="94">
        <v>100501.0</v>
      </c>
      <c r="R204" s="94">
        <v>952.08</v>
      </c>
      <c r="S204" s="95" t="s">
        <v>1510</v>
      </c>
      <c r="T204" s="94">
        <v>10.0</v>
      </c>
      <c r="U204" s="96">
        <v>41926.0</v>
      </c>
      <c r="V204" s="97" t="s">
        <v>1511</v>
      </c>
      <c r="W204" s="97" t="s">
        <v>1512</v>
      </c>
      <c r="X204" s="79" t="s">
        <v>1513</v>
      </c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  <c r="AQ204" s="88"/>
      <c r="AR204" s="88"/>
    </row>
    <row r="205" ht="19.5" customHeight="1">
      <c r="A205" s="79">
        <v>194.0</v>
      </c>
      <c r="B205" s="91" t="s">
        <v>29</v>
      </c>
      <c r="C205" s="91" t="s">
        <v>1484</v>
      </c>
      <c r="D205" s="91" t="s">
        <v>1514</v>
      </c>
      <c r="E205" s="92" t="s">
        <v>1515</v>
      </c>
      <c r="F205" s="91" t="s">
        <v>687</v>
      </c>
      <c r="G205" s="80" t="s">
        <v>42</v>
      </c>
      <c r="H205" s="80" t="s">
        <v>21</v>
      </c>
      <c r="I205" s="91" t="s">
        <v>1487</v>
      </c>
      <c r="J205" s="80" t="s">
        <v>47</v>
      </c>
      <c r="K205" s="79" t="s">
        <v>1488</v>
      </c>
      <c r="L205" s="93" t="s">
        <v>1516</v>
      </c>
      <c r="M205" s="83">
        <f t="shared" si="1"/>
        <v>460</v>
      </c>
      <c r="N205" s="84">
        <v>460.0</v>
      </c>
      <c r="O205" s="84">
        <v>0.0</v>
      </c>
      <c r="P205" s="84">
        <v>0.0</v>
      </c>
      <c r="Q205" s="94">
        <v>8505.0</v>
      </c>
      <c r="R205" s="94">
        <v>5663.81</v>
      </c>
      <c r="S205" s="95" t="s">
        <v>380</v>
      </c>
      <c r="T205" s="94">
        <v>1.0</v>
      </c>
      <c r="U205" s="96">
        <v>44641.0</v>
      </c>
      <c r="V205" s="97" t="s">
        <v>1517</v>
      </c>
      <c r="W205" s="97" t="s">
        <v>1518</v>
      </c>
      <c r="X205" s="79" t="s">
        <v>1519</v>
      </c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  <c r="AQ205" s="88"/>
      <c r="AR205" s="88"/>
    </row>
    <row r="206" ht="19.5" customHeight="1">
      <c r="A206" s="79">
        <v>195.0</v>
      </c>
      <c r="B206" s="91" t="s">
        <v>29</v>
      </c>
      <c r="C206" s="91" t="s">
        <v>1484</v>
      </c>
      <c r="D206" s="91" t="s">
        <v>1520</v>
      </c>
      <c r="E206" s="92" t="s">
        <v>1521</v>
      </c>
      <c r="F206" s="91" t="s">
        <v>22</v>
      </c>
      <c r="G206" s="80" t="s">
        <v>48</v>
      </c>
      <c r="H206" s="80" t="s">
        <v>22</v>
      </c>
      <c r="I206" s="91" t="s">
        <v>1522</v>
      </c>
      <c r="J206" s="80" t="s">
        <v>43</v>
      </c>
      <c r="K206" s="91" t="s">
        <v>1522</v>
      </c>
      <c r="L206" s="93" t="s">
        <v>1523</v>
      </c>
      <c r="M206" s="83">
        <f t="shared" si="1"/>
        <v>150</v>
      </c>
      <c r="N206" s="84">
        <v>150.0</v>
      </c>
      <c r="O206" s="84">
        <v>0.0</v>
      </c>
      <c r="P206" s="84">
        <v>0.0</v>
      </c>
      <c r="Q206" s="94">
        <v>42527.0</v>
      </c>
      <c r="R206" s="94">
        <v>295.0</v>
      </c>
      <c r="S206" s="95" t="s">
        <v>1524</v>
      </c>
      <c r="T206" s="94">
        <v>2.0</v>
      </c>
      <c r="U206" s="96">
        <v>45030.0</v>
      </c>
      <c r="V206" s="97" t="s">
        <v>1525</v>
      </c>
      <c r="W206" s="97" t="s">
        <v>1526</v>
      </c>
      <c r="X206" s="79" t="s">
        <v>1527</v>
      </c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  <c r="AQ206" s="88"/>
      <c r="AR206" s="88"/>
    </row>
    <row r="207" ht="19.5" customHeight="1">
      <c r="A207" s="79">
        <v>196.0</v>
      </c>
      <c r="B207" s="80" t="s">
        <v>29</v>
      </c>
      <c r="C207" s="80" t="s">
        <v>626</v>
      </c>
      <c r="D207" s="80" t="s">
        <v>1528</v>
      </c>
      <c r="E207" s="81" t="s">
        <v>1529</v>
      </c>
      <c r="F207" s="80" t="s">
        <v>91</v>
      </c>
      <c r="G207" s="80" t="s">
        <v>44</v>
      </c>
      <c r="H207" s="80" t="s">
        <v>21</v>
      </c>
      <c r="I207" s="80" t="s">
        <v>637</v>
      </c>
      <c r="J207" s="80" t="s">
        <v>45</v>
      </c>
      <c r="K207" s="80" t="s">
        <v>1530</v>
      </c>
      <c r="L207" s="82" t="s">
        <v>1531</v>
      </c>
      <c r="M207" s="83">
        <f t="shared" si="1"/>
        <v>127</v>
      </c>
      <c r="N207" s="84">
        <v>127.0</v>
      </c>
      <c r="O207" s="84">
        <v>0.0</v>
      </c>
      <c r="P207" s="84">
        <v>0.0</v>
      </c>
      <c r="Q207" s="94">
        <v>126.0</v>
      </c>
      <c r="R207" s="94">
        <v>421.0</v>
      </c>
      <c r="S207" s="95" t="s">
        <v>217</v>
      </c>
      <c r="T207" s="94">
        <v>1.0</v>
      </c>
      <c r="U207" s="96">
        <v>36580.0</v>
      </c>
      <c r="V207" s="97" t="s">
        <v>1532</v>
      </c>
      <c r="W207" s="97" t="s">
        <v>1533</v>
      </c>
      <c r="X207" s="79" t="s">
        <v>1534</v>
      </c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  <c r="AQ207" s="88"/>
      <c r="AR207" s="88"/>
    </row>
    <row r="208" ht="19.5" customHeight="1">
      <c r="A208" s="79">
        <v>197.0</v>
      </c>
      <c r="B208" s="80" t="s">
        <v>29</v>
      </c>
      <c r="C208" s="80" t="s">
        <v>626</v>
      </c>
      <c r="D208" s="80" t="s">
        <v>1535</v>
      </c>
      <c r="E208" s="81" t="s">
        <v>636</v>
      </c>
      <c r="F208" s="80" t="s">
        <v>91</v>
      </c>
      <c r="G208" s="80" t="s">
        <v>44</v>
      </c>
      <c r="H208" s="80" t="s">
        <v>21</v>
      </c>
      <c r="I208" s="80" t="s">
        <v>637</v>
      </c>
      <c r="J208" s="80" t="s">
        <v>45</v>
      </c>
      <c r="K208" s="80" t="s">
        <v>1536</v>
      </c>
      <c r="L208" s="82" t="s">
        <v>1537</v>
      </c>
      <c r="M208" s="83">
        <f t="shared" si="1"/>
        <v>127</v>
      </c>
      <c r="N208" s="84">
        <v>127.0</v>
      </c>
      <c r="O208" s="84">
        <v>0.0</v>
      </c>
      <c r="P208" s="84">
        <v>0.0</v>
      </c>
      <c r="Q208" s="94">
        <v>745.6</v>
      </c>
      <c r="R208" s="94">
        <v>986.532</v>
      </c>
      <c r="S208" s="95" t="s">
        <v>217</v>
      </c>
      <c r="T208" s="94">
        <v>1.0</v>
      </c>
      <c r="U208" s="96">
        <v>42726.0</v>
      </c>
      <c r="V208" s="97" t="s">
        <v>1538</v>
      </c>
      <c r="W208" s="97" t="s">
        <v>1539</v>
      </c>
      <c r="X208" s="79" t="s">
        <v>1540</v>
      </c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  <c r="AQ208" s="88"/>
      <c r="AR208" s="88"/>
    </row>
    <row r="209" ht="19.5" customHeight="1">
      <c r="A209" s="79">
        <v>198.0</v>
      </c>
      <c r="B209" s="95" t="s">
        <v>30</v>
      </c>
      <c r="C209" s="95" t="s">
        <v>1541</v>
      </c>
      <c r="D209" s="95" t="s">
        <v>1542</v>
      </c>
      <c r="E209" s="100" t="s">
        <v>1543</v>
      </c>
      <c r="F209" s="95" t="s">
        <v>81</v>
      </c>
      <c r="G209" s="80" t="s">
        <v>42</v>
      </c>
      <c r="H209" s="80" t="s">
        <v>21</v>
      </c>
      <c r="I209" s="80" t="s">
        <v>1544</v>
      </c>
      <c r="J209" s="80" t="s">
        <v>45</v>
      </c>
      <c r="K209" s="95" t="s">
        <v>760</v>
      </c>
      <c r="L209" s="82" t="s">
        <v>1545</v>
      </c>
      <c r="M209" s="83">
        <f t="shared" si="1"/>
        <v>200</v>
      </c>
      <c r="N209" s="84">
        <v>200.0</v>
      </c>
      <c r="O209" s="84"/>
      <c r="P209" s="84"/>
      <c r="Q209" s="94">
        <v>10066.0</v>
      </c>
      <c r="R209" s="94">
        <v>1561.23</v>
      </c>
      <c r="S209" s="95" t="s">
        <v>314</v>
      </c>
      <c r="T209" s="94">
        <v>1.0</v>
      </c>
      <c r="U209" s="96">
        <v>42293.0</v>
      </c>
      <c r="V209" s="97" t="s">
        <v>1546</v>
      </c>
      <c r="W209" s="97" t="s">
        <v>1547</v>
      </c>
      <c r="X209" s="79" t="s">
        <v>1548</v>
      </c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  <c r="AQ209" s="88"/>
      <c r="AR209" s="88"/>
    </row>
    <row r="210" ht="19.5" customHeight="1">
      <c r="A210" s="79">
        <v>199.0</v>
      </c>
      <c r="B210" s="80" t="s">
        <v>30</v>
      </c>
      <c r="C210" s="80" t="s">
        <v>1541</v>
      </c>
      <c r="D210" s="80" t="s">
        <v>1542</v>
      </c>
      <c r="E210" s="81" t="s">
        <v>1549</v>
      </c>
      <c r="F210" s="80" t="s">
        <v>81</v>
      </c>
      <c r="G210" s="80" t="s">
        <v>44</v>
      </c>
      <c r="H210" s="80" t="s">
        <v>21</v>
      </c>
      <c r="I210" s="80" t="s">
        <v>1544</v>
      </c>
      <c r="J210" s="80" t="s">
        <v>45</v>
      </c>
      <c r="K210" s="80" t="s">
        <v>1550</v>
      </c>
      <c r="L210" s="82" t="s">
        <v>1551</v>
      </c>
      <c r="M210" s="83">
        <f t="shared" si="1"/>
        <v>65</v>
      </c>
      <c r="N210" s="84">
        <v>65.0</v>
      </c>
      <c r="O210" s="84"/>
      <c r="P210" s="84"/>
      <c r="Q210" s="94"/>
      <c r="R210" s="94">
        <v>271.0</v>
      </c>
      <c r="S210" s="95" t="s">
        <v>1552</v>
      </c>
      <c r="T210" s="94">
        <v>1.0</v>
      </c>
      <c r="U210" s="96">
        <v>36803.0</v>
      </c>
      <c r="V210" s="97" t="s">
        <v>1553</v>
      </c>
      <c r="W210" s="97" t="s">
        <v>1554</v>
      </c>
      <c r="X210" s="79" t="s">
        <v>1555</v>
      </c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  <c r="AQ210" s="88"/>
      <c r="AR210" s="88"/>
    </row>
    <row r="211" ht="19.5" customHeight="1">
      <c r="A211" s="79">
        <v>200.0</v>
      </c>
      <c r="B211" s="80" t="s">
        <v>30</v>
      </c>
      <c r="C211" s="80" t="s">
        <v>1541</v>
      </c>
      <c r="D211" s="80" t="s">
        <v>1556</v>
      </c>
      <c r="E211" s="81" t="s">
        <v>1557</v>
      </c>
      <c r="F211" s="80" t="s">
        <v>81</v>
      </c>
      <c r="G211" s="80" t="s">
        <v>44</v>
      </c>
      <c r="H211" s="80" t="s">
        <v>21</v>
      </c>
      <c r="I211" s="80" t="s">
        <v>1544</v>
      </c>
      <c r="J211" s="80" t="s">
        <v>45</v>
      </c>
      <c r="K211" s="80" t="s">
        <v>1558</v>
      </c>
      <c r="L211" s="82" t="s">
        <v>1559</v>
      </c>
      <c r="M211" s="83">
        <f t="shared" si="1"/>
        <v>70</v>
      </c>
      <c r="N211" s="84">
        <v>70.0</v>
      </c>
      <c r="O211" s="84"/>
      <c r="P211" s="84"/>
      <c r="Q211" s="94"/>
      <c r="R211" s="94">
        <v>361.0</v>
      </c>
      <c r="S211" s="95" t="s">
        <v>1560</v>
      </c>
      <c r="T211" s="94">
        <v>1.0</v>
      </c>
      <c r="U211" s="96">
        <v>43343.0</v>
      </c>
      <c r="V211" s="97" t="s">
        <v>1561</v>
      </c>
      <c r="W211" s="97" t="s">
        <v>1562</v>
      </c>
      <c r="X211" s="79" t="s">
        <v>1563</v>
      </c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  <c r="AQ211" s="88"/>
      <c r="AR211" s="88"/>
    </row>
    <row r="212" ht="19.5" customHeight="1">
      <c r="A212" s="79">
        <v>201.0</v>
      </c>
      <c r="B212" s="80" t="s">
        <v>30</v>
      </c>
      <c r="C212" s="80" t="s">
        <v>1541</v>
      </c>
      <c r="D212" s="80" t="s">
        <v>1564</v>
      </c>
      <c r="E212" s="81" t="s">
        <v>1565</v>
      </c>
      <c r="F212" s="80" t="s">
        <v>81</v>
      </c>
      <c r="G212" s="80" t="s">
        <v>44</v>
      </c>
      <c r="H212" s="80" t="s">
        <v>21</v>
      </c>
      <c r="I212" s="80" t="s">
        <v>1544</v>
      </c>
      <c r="J212" s="80" t="s">
        <v>43</v>
      </c>
      <c r="K212" s="80" t="s">
        <v>1566</v>
      </c>
      <c r="L212" s="82" t="s">
        <v>1567</v>
      </c>
      <c r="M212" s="83">
        <f t="shared" si="1"/>
        <v>65</v>
      </c>
      <c r="N212" s="84">
        <v>65.0</v>
      </c>
      <c r="O212" s="84"/>
      <c r="P212" s="84"/>
      <c r="Q212" s="94"/>
      <c r="R212" s="94">
        <v>385.8</v>
      </c>
      <c r="S212" s="95" t="s">
        <v>1552</v>
      </c>
      <c r="T212" s="94">
        <v>1.0</v>
      </c>
      <c r="U212" s="96">
        <v>43690.0</v>
      </c>
      <c r="V212" s="97" t="s">
        <v>1568</v>
      </c>
      <c r="W212" s="97" t="s">
        <v>1569</v>
      </c>
      <c r="X212" s="79" t="s">
        <v>1570</v>
      </c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  <c r="AQ212" s="88"/>
      <c r="AR212" s="88"/>
    </row>
    <row r="213" ht="19.5" customHeight="1">
      <c r="A213" s="79">
        <v>202.0</v>
      </c>
      <c r="B213" s="79" t="s">
        <v>30</v>
      </c>
      <c r="C213" s="79" t="s">
        <v>1541</v>
      </c>
      <c r="D213" s="79" t="s">
        <v>1571</v>
      </c>
      <c r="E213" s="102" t="s">
        <v>1572</v>
      </c>
      <c r="F213" s="79" t="s">
        <v>81</v>
      </c>
      <c r="G213" s="80" t="s">
        <v>42</v>
      </c>
      <c r="H213" s="80" t="s">
        <v>21</v>
      </c>
      <c r="I213" s="79" t="s">
        <v>1544</v>
      </c>
      <c r="J213" s="80" t="s">
        <v>43</v>
      </c>
      <c r="K213" s="80" t="s">
        <v>1566</v>
      </c>
      <c r="L213" s="93" t="s">
        <v>1573</v>
      </c>
      <c r="M213" s="83">
        <f t="shared" si="1"/>
        <v>300</v>
      </c>
      <c r="N213" s="84">
        <v>300.0</v>
      </c>
      <c r="O213" s="84"/>
      <c r="P213" s="84"/>
      <c r="Q213" s="94">
        <v>12762.2</v>
      </c>
      <c r="R213" s="94">
        <v>5780.43</v>
      </c>
      <c r="S213" s="95" t="s">
        <v>380</v>
      </c>
      <c r="T213" s="94">
        <v>1.0</v>
      </c>
      <c r="U213" s="96">
        <v>44209.0</v>
      </c>
      <c r="V213" s="97" t="s">
        <v>1574</v>
      </c>
      <c r="W213" s="97" t="s">
        <v>1575</v>
      </c>
      <c r="X213" s="79" t="s">
        <v>40</v>
      </c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  <c r="AQ213" s="88"/>
      <c r="AR213" s="88"/>
    </row>
    <row r="214" ht="19.5" customHeight="1">
      <c r="A214" s="79">
        <v>203.0</v>
      </c>
      <c r="B214" s="91" t="s">
        <v>31</v>
      </c>
      <c r="C214" s="91" t="s">
        <v>1576</v>
      </c>
      <c r="D214" s="91" t="s">
        <v>1577</v>
      </c>
      <c r="E214" s="92" t="s">
        <v>1578</v>
      </c>
      <c r="F214" s="91" t="s">
        <v>1579</v>
      </c>
      <c r="G214" s="80" t="s">
        <v>46</v>
      </c>
      <c r="H214" s="80" t="s">
        <v>21</v>
      </c>
      <c r="I214" s="91" t="s">
        <v>1580</v>
      </c>
      <c r="J214" s="80" t="s">
        <v>43</v>
      </c>
      <c r="K214" s="91" t="s">
        <v>1578</v>
      </c>
      <c r="L214" s="82" t="s">
        <v>1581</v>
      </c>
      <c r="M214" s="83">
        <f t="shared" si="1"/>
        <v>566</v>
      </c>
      <c r="N214" s="84"/>
      <c r="O214" s="84">
        <v>110.0</v>
      </c>
      <c r="P214" s="84">
        <v>456.0</v>
      </c>
      <c r="Q214" s="94">
        <v>114369.0</v>
      </c>
      <c r="R214" s="94">
        <v>5638.0</v>
      </c>
      <c r="S214" s="95" t="s">
        <v>103</v>
      </c>
      <c r="T214" s="94">
        <v>4.0</v>
      </c>
      <c r="U214" s="96">
        <v>39806.0</v>
      </c>
      <c r="V214" s="97" t="s">
        <v>1582</v>
      </c>
      <c r="W214" s="97" t="s">
        <v>1583</v>
      </c>
      <c r="X214" s="79" t="s">
        <v>1584</v>
      </c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  <c r="AQ214" s="88"/>
      <c r="AR214" s="88"/>
    </row>
    <row r="215" ht="19.5" customHeight="1">
      <c r="A215" s="79">
        <v>204.0</v>
      </c>
      <c r="B215" s="91" t="s">
        <v>31</v>
      </c>
      <c r="C215" s="91" t="s">
        <v>1576</v>
      </c>
      <c r="D215" s="91" t="s">
        <v>1585</v>
      </c>
      <c r="E215" s="92" t="s">
        <v>1586</v>
      </c>
      <c r="F215" s="91" t="s">
        <v>22</v>
      </c>
      <c r="G215" s="80" t="s">
        <v>12</v>
      </c>
      <c r="H215" s="80" t="s">
        <v>22</v>
      </c>
      <c r="I215" s="91" t="s">
        <v>1587</v>
      </c>
      <c r="J215" s="80" t="s">
        <v>43</v>
      </c>
      <c r="K215" s="91"/>
      <c r="L215" s="82" t="s">
        <v>1588</v>
      </c>
      <c r="M215" s="83">
        <f t="shared" si="1"/>
        <v>170</v>
      </c>
      <c r="N215" s="84"/>
      <c r="O215" s="84">
        <v>170.0</v>
      </c>
      <c r="P215" s="84"/>
      <c r="Q215" s="94">
        <v>1806.0</v>
      </c>
      <c r="R215" s="94">
        <v>1756.0</v>
      </c>
      <c r="S215" s="95" t="s">
        <v>320</v>
      </c>
      <c r="T215" s="94">
        <v>1.0</v>
      </c>
      <c r="U215" s="96">
        <v>37466.0</v>
      </c>
      <c r="V215" s="97" t="s">
        <v>1589</v>
      </c>
      <c r="W215" s="97" t="s">
        <v>1590</v>
      </c>
      <c r="X215" s="79" t="s">
        <v>1591</v>
      </c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  <c r="AQ215" s="88"/>
      <c r="AR215" s="88"/>
    </row>
    <row r="216" ht="19.5" customHeight="1">
      <c r="A216" s="79">
        <v>205.0</v>
      </c>
      <c r="B216" s="91" t="s">
        <v>31</v>
      </c>
      <c r="C216" s="91" t="s">
        <v>1576</v>
      </c>
      <c r="D216" s="91" t="s">
        <v>1577</v>
      </c>
      <c r="E216" s="92" t="s">
        <v>1592</v>
      </c>
      <c r="F216" s="91" t="s">
        <v>22</v>
      </c>
      <c r="G216" s="80" t="s">
        <v>48</v>
      </c>
      <c r="H216" s="80" t="s">
        <v>22</v>
      </c>
      <c r="I216" s="91" t="s">
        <v>1593</v>
      </c>
      <c r="J216" s="80" t="s">
        <v>43</v>
      </c>
      <c r="K216" s="91"/>
      <c r="L216" s="82" t="s">
        <v>1594</v>
      </c>
      <c r="M216" s="83">
        <f t="shared" si="1"/>
        <v>585</v>
      </c>
      <c r="N216" s="84">
        <v>150.0</v>
      </c>
      <c r="O216" s="84">
        <v>99.0</v>
      </c>
      <c r="P216" s="84">
        <v>336.0</v>
      </c>
      <c r="Q216" s="94">
        <v>19680.0</v>
      </c>
      <c r="R216" s="94">
        <v>1676.0</v>
      </c>
      <c r="S216" s="95" t="s">
        <v>350</v>
      </c>
      <c r="T216" s="94">
        <v>3.0</v>
      </c>
      <c r="U216" s="96">
        <v>41803.0</v>
      </c>
      <c r="V216" s="97" t="s">
        <v>1595</v>
      </c>
      <c r="W216" s="97" t="s">
        <v>1596</v>
      </c>
      <c r="X216" s="79" t="s">
        <v>1597</v>
      </c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  <c r="AQ216" s="88"/>
      <c r="AR216" s="88"/>
    </row>
    <row r="217" ht="19.5" customHeight="1">
      <c r="A217" s="79">
        <v>206.0</v>
      </c>
      <c r="B217" s="91" t="s">
        <v>31</v>
      </c>
      <c r="C217" s="95" t="s">
        <v>1576</v>
      </c>
      <c r="D217" s="91" t="s">
        <v>1598</v>
      </c>
      <c r="E217" s="92" t="s">
        <v>1599</v>
      </c>
      <c r="F217" s="91" t="s">
        <v>22</v>
      </c>
      <c r="G217" s="80" t="s">
        <v>46</v>
      </c>
      <c r="H217" s="80" t="s">
        <v>22</v>
      </c>
      <c r="I217" s="91" t="s">
        <v>1600</v>
      </c>
      <c r="J217" s="80" t="s">
        <v>43</v>
      </c>
      <c r="K217" s="91" t="s">
        <v>1601</v>
      </c>
      <c r="L217" s="82" t="s">
        <v>1602</v>
      </c>
      <c r="M217" s="83">
        <f t="shared" si="1"/>
        <v>632</v>
      </c>
      <c r="N217" s="84"/>
      <c r="O217" s="84">
        <v>632.0</v>
      </c>
      <c r="P217" s="84"/>
      <c r="Q217" s="94">
        <v>26192.0</v>
      </c>
      <c r="R217" s="94">
        <v>20344.0</v>
      </c>
      <c r="S217" s="95" t="s">
        <v>194</v>
      </c>
      <c r="T217" s="94">
        <v>3.0</v>
      </c>
      <c r="U217" s="96">
        <v>38496.0</v>
      </c>
      <c r="V217" s="97" t="s">
        <v>1603</v>
      </c>
      <c r="W217" s="97" t="s">
        <v>1604</v>
      </c>
      <c r="X217" s="79" t="s">
        <v>1605</v>
      </c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  <c r="AQ217" s="88"/>
      <c r="AR217" s="88"/>
    </row>
    <row r="218" ht="19.5" customHeight="1">
      <c r="A218" s="79">
        <v>207.0</v>
      </c>
      <c r="B218" s="91" t="s">
        <v>31</v>
      </c>
      <c r="C218" s="91" t="s">
        <v>1576</v>
      </c>
      <c r="D218" s="91" t="s">
        <v>1606</v>
      </c>
      <c r="E218" s="92" t="s">
        <v>1607</v>
      </c>
      <c r="F218" s="91" t="s">
        <v>22</v>
      </c>
      <c r="G218" s="80" t="s">
        <v>12</v>
      </c>
      <c r="H218" s="80" t="s">
        <v>22</v>
      </c>
      <c r="I218" s="91" t="s">
        <v>1608</v>
      </c>
      <c r="J218" s="80" t="s">
        <v>43</v>
      </c>
      <c r="K218" s="91"/>
      <c r="L218" s="82" t="s">
        <v>1609</v>
      </c>
      <c r="M218" s="83">
        <f t="shared" si="1"/>
        <v>47</v>
      </c>
      <c r="N218" s="84"/>
      <c r="O218" s="84">
        <v>47.0</v>
      </c>
      <c r="P218" s="84"/>
      <c r="Q218" s="94">
        <v>2459.0</v>
      </c>
      <c r="R218" s="94">
        <v>927.95</v>
      </c>
      <c r="S218" s="95" t="s">
        <v>194</v>
      </c>
      <c r="T218" s="94">
        <v>1.0</v>
      </c>
      <c r="U218" s="96">
        <v>38827.0</v>
      </c>
      <c r="V218" s="97" t="s">
        <v>1610</v>
      </c>
      <c r="W218" s="97" t="s">
        <v>1611</v>
      </c>
      <c r="X218" s="79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  <c r="AQ218" s="88"/>
      <c r="AR218" s="88"/>
    </row>
    <row r="219" ht="19.5" customHeight="1">
      <c r="A219" s="79">
        <v>208.0</v>
      </c>
      <c r="B219" s="91" t="s">
        <v>31</v>
      </c>
      <c r="C219" s="91" t="s">
        <v>1576</v>
      </c>
      <c r="D219" s="91" t="s">
        <v>1606</v>
      </c>
      <c r="E219" s="92" t="s">
        <v>1612</v>
      </c>
      <c r="F219" s="91" t="s">
        <v>22</v>
      </c>
      <c r="G219" s="80" t="s">
        <v>46</v>
      </c>
      <c r="H219" s="80" t="s">
        <v>22</v>
      </c>
      <c r="I219" s="91" t="s">
        <v>1613</v>
      </c>
      <c r="J219" s="80" t="s">
        <v>43</v>
      </c>
      <c r="K219" s="91" t="s">
        <v>1614</v>
      </c>
      <c r="L219" s="82" t="s">
        <v>1615</v>
      </c>
      <c r="M219" s="83">
        <f t="shared" si="1"/>
        <v>200</v>
      </c>
      <c r="N219" s="84"/>
      <c r="O219" s="84">
        <v>200.0</v>
      </c>
      <c r="P219" s="84"/>
      <c r="Q219" s="94">
        <v>25075.0</v>
      </c>
      <c r="R219" s="94">
        <v>4681.0</v>
      </c>
      <c r="S219" s="95" t="s">
        <v>194</v>
      </c>
      <c r="T219" s="94">
        <v>16.0</v>
      </c>
      <c r="U219" s="96">
        <v>39654.0</v>
      </c>
      <c r="V219" s="97" t="s">
        <v>1616</v>
      </c>
      <c r="W219" s="97" t="s">
        <v>1617</v>
      </c>
      <c r="X219" s="79" t="s">
        <v>1618</v>
      </c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  <c r="AQ219" s="88"/>
      <c r="AR219" s="88"/>
    </row>
    <row r="220" ht="19.5" customHeight="1">
      <c r="A220" s="79">
        <v>209.0</v>
      </c>
      <c r="B220" s="91" t="s">
        <v>31</v>
      </c>
      <c r="C220" s="91" t="s">
        <v>1576</v>
      </c>
      <c r="D220" s="91" t="s">
        <v>1606</v>
      </c>
      <c r="E220" s="92" t="s">
        <v>1619</v>
      </c>
      <c r="F220" s="91" t="s">
        <v>22</v>
      </c>
      <c r="G220" s="80" t="s">
        <v>48</v>
      </c>
      <c r="H220" s="80" t="s">
        <v>22</v>
      </c>
      <c r="I220" s="91" t="s">
        <v>1620</v>
      </c>
      <c r="J220" s="80" t="s">
        <v>43</v>
      </c>
      <c r="K220" s="91"/>
      <c r="L220" s="82" t="s">
        <v>1621</v>
      </c>
      <c r="M220" s="83">
        <f t="shared" si="1"/>
        <v>116</v>
      </c>
      <c r="N220" s="84"/>
      <c r="O220" s="84">
        <v>16.0</v>
      </c>
      <c r="P220" s="84">
        <v>100.0</v>
      </c>
      <c r="Q220" s="94">
        <v>25954.0</v>
      </c>
      <c r="R220" s="94">
        <v>377.0</v>
      </c>
      <c r="S220" s="95" t="s">
        <v>704</v>
      </c>
      <c r="T220" s="94">
        <v>2.0</v>
      </c>
      <c r="U220" s="96">
        <v>41897.0</v>
      </c>
      <c r="V220" s="97" t="s">
        <v>1622</v>
      </c>
      <c r="W220" s="97" t="s">
        <v>1622</v>
      </c>
      <c r="X220" s="79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  <c r="AQ220" s="88"/>
      <c r="AR220" s="88"/>
    </row>
    <row r="221" ht="19.5" customHeight="1">
      <c r="A221" s="79">
        <v>210.0</v>
      </c>
      <c r="B221" s="91" t="s">
        <v>31</v>
      </c>
      <c r="C221" s="95" t="s">
        <v>1576</v>
      </c>
      <c r="D221" s="95" t="s">
        <v>1623</v>
      </c>
      <c r="E221" s="100" t="s">
        <v>1624</v>
      </c>
      <c r="F221" s="95" t="s">
        <v>22</v>
      </c>
      <c r="G221" s="80" t="s">
        <v>46</v>
      </c>
      <c r="H221" s="80" t="s">
        <v>22</v>
      </c>
      <c r="I221" s="95" t="s">
        <v>1625</v>
      </c>
      <c r="J221" s="80" t="s">
        <v>43</v>
      </c>
      <c r="K221" s="95"/>
      <c r="L221" s="82" t="s">
        <v>1626</v>
      </c>
      <c r="M221" s="83">
        <f t="shared" si="1"/>
        <v>109</v>
      </c>
      <c r="N221" s="84"/>
      <c r="O221" s="84">
        <v>109.0</v>
      </c>
      <c r="P221" s="84"/>
      <c r="Q221" s="94">
        <v>7605.0</v>
      </c>
      <c r="R221" s="94">
        <v>907.0</v>
      </c>
      <c r="S221" s="95" t="s">
        <v>704</v>
      </c>
      <c r="T221" s="94">
        <v>4.0</v>
      </c>
      <c r="U221" s="96">
        <v>35553.0</v>
      </c>
      <c r="V221" s="97" t="s">
        <v>1627</v>
      </c>
      <c r="W221" s="97" t="s">
        <v>1628</v>
      </c>
      <c r="X221" s="79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  <c r="AQ221" s="88"/>
      <c r="AR221" s="88"/>
    </row>
    <row r="222" ht="19.5" customHeight="1">
      <c r="A222" s="79">
        <v>211.0</v>
      </c>
      <c r="B222" s="91" t="s">
        <v>31</v>
      </c>
      <c r="C222" s="95" t="s">
        <v>1576</v>
      </c>
      <c r="D222" s="91" t="s">
        <v>1585</v>
      </c>
      <c r="E222" s="92" t="s">
        <v>1629</v>
      </c>
      <c r="F222" s="91" t="s">
        <v>22</v>
      </c>
      <c r="G222" s="80" t="s">
        <v>12</v>
      </c>
      <c r="H222" s="80" t="s">
        <v>22</v>
      </c>
      <c r="I222" s="91" t="s">
        <v>1630</v>
      </c>
      <c r="J222" s="80" t="s">
        <v>43</v>
      </c>
      <c r="K222" s="91" t="s">
        <v>1631</v>
      </c>
      <c r="L222" s="82" t="s">
        <v>1632</v>
      </c>
      <c r="M222" s="83">
        <f t="shared" si="1"/>
        <v>74</v>
      </c>
      <c r="N222" s="84"/>
      <c r="O222" s="84">
        <v>74.0</v>
      </c>
      <c r="P222" s="84"/>
      <c r="Q222" s="94">
        <v>2960.0</v>
      </c>
      <c r="R222" s="94">
        <v>1161.0</v>
      </c>
      <c r="S222" s="95" t="s">
        <v>217</v>
      </c>
      <c r="T222" s="94">
        <v>5.0</v>
      </c>
      <c r="U222" s="96">
        <v>41233.0</v>
      </c>
      <c r="V222" s="97" t="s">
        <v>1633</v>
      </c>
      <c r="W222" s="97" t="s">
        <v>1634</v>
      </c>
      <c r="X222" s="79" t="s">
        <v>1635</v>
      </c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  <c r="AQ222" s="88"/>
      <c r="AR222" s="88"/>
    </row>
    <row r="223" ht="19.5" customHeight="1">
      <c r="A223" s="79">
        <v>212.0</v>
      </c>
      <c r="B223" s="91" t="s">
        <v>31</v>
      </c>
      <c r="C223" s="95" t="s">
        <v>1576</v>
      </c>
      <c r="D223" s="91" t="s">
        <v>1636</v>
      </c>
      <c r="E223" s="92" t="s">
        <v>1637</v>
      </c>
      <c r="F223" s="91" t="s">
        <v>687</v>
      </c>
      <c r="G223" s="80" t="s">
        <v>44</v>
      </c>
      <c r="H223" s="80" t="s">
        <v>21</v>
      </c>
      <c r="I223" s="91" t="s">
        <v>1576</v>
      </c>
      <c r="J223" s="80" t="s">
        <v>45</v>
      </c>
      <c r="K223" s="95" t="s">
        <v>469</v>
      </c>
      <c r="L223" s="82" t="s">
        <v>1638</v>
      </c>
      <c r="M223" s="83">
        <f t="shared" si="1"/>
        <v>200</v>
      </c>
      <c r="N223" s="84">
        <v>200.0</v>
      </c>
      <c r="O223" s="84"/>
      <c r="P223" s="84"/>
      <c r="Q223" s="94">
        <v>2739.0</v>
      </c>
      <c r="R223" s="94">
        <v>1264.0</v>
      </c>
      <c r="S223" s="95" t="s">
        <v>1639</v>
      </c>
      <c r="T223" s="94">
        <v>1.0</v>
      </c>
      <c r="U223" s="96">
        <v>41313.0</v>
      </c>
      <c r="V223" s="97" t="s">
        <v>1640</v>
      </c>
      <c r="W223" s="97" t="s">
        <v>1641</v>
      </c>
      <c r="X223" s="79" t="s">
        <v>1642</v>
      </c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  <c r="AQ223" s="88"/>
      <c r="AR223" s="88"/>
    </row>
    <row r="224" ht="19.5" customHeight="1">
      <c r="A224" s="79">
        <v>213.0</v>
      </c>
      <c r="B224" s="91" t="s">
        <v>31</v>
      </c>
      <c r="C224" s="95" t="s">
        <v>1576</v>
      </c>
      <c r="D224" s="95" t="s">
        <v>1598</v>
      </c>
      <c r="E224" s="100" t="s">
        <v>1643</v>
      </c>
      <c r="F224" s="95" t="s">
        <v>687</v>
      </c>
      <c r="G224" s="80" t="s">
        <v>44</v>
      </c>
      <c r="H224" s="80" t="s">
        <v>21</v>
      </c>
      <c r="I224" s="95" t="s">
        <v>1576</v>
      </c>
      <c r="J224" s="80" t="s">
        <v>45</v>
      </c>
      <c r="K224" s="95" t="s">
        <v>469</v>
      </c>
      <c r="L224" s="127" t="s">
        <v>1644</v>
      </c>
      <c r="M224" s="83">
        <f t="shared" si="1"/>
        <v>83</v>
      </c>
      <c r="N224" s="84">
        <v>83.0</v>
      </c>
      <c r="O224" s="84"/>
      <c r="P224" s="84"/>
      <c r="Q224" s="94">
        <v>564.0</v>
      </c>
      <c r="R224" s="94">
        <v>277.0</v>
      </c>
      <c r="S224" s="95" t="s">
        <v>320</v>
      </c>
      <c r="T224" s="94">
        <v>1.0</v>
      </c>
      <c r="U224" s="96">
        <v>44511.0</v>
      </c>
      <c r="V224" s="97" t="s">
        <v>1645</v>
      </c>
      <c r="W224" s="97" t="s">
        <v>1646</v>
      </c>
      <c r="X224" s="79" t="s">
        <v>1647</v>
      </c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  <c r="AQ224" s="88"/>
      <c r="AR224" s="88"/>
    </row>
    <row r="225" ht="19.5" customHeight="1">
      <c r="A225" s="79">
        <v>214.0</v>
      </c>
      <c r="B225" s="91" t="s">
        <v>31</v>
      </c>
      <c r="C225" s="95" t="s">
        <v>1576</v>
      </c>
      <c r="D225" s="91" t="s">
        <v>1623</v>
      </c>
      <c r="E225" s="92" t="s">
        <v>1648</v>
      </c>
      <c r="F225" s="91" t="s">
        <v>687</v>
      </c>
      <c r="G225" s="80" t="s">
        <v>44</v>
      </c>
      <c r="H225" s="80" t="s">
        <v>21</v>
      </c>
      <c r="I225" s="91" t="s">
        <v>1576</v>
      </c>
      <c r="J225" s="80" t="s">
        <v>45</v>
      </c>
      <c r="K225" s="95" t="s">
        <v>469</v>
      </c>
      <c r="L225" s="82" t="s">
        <v>1649</v>
      </c>
      <c r="M225" s="83">
        <f t="shared" si="1"/>
        <v>180</v>
      </c>
      <c r="N225" s="84">
        <v>180.0</v>
      </c>
      <c r="O225" s="84"/>
      <c r="P225" s="84"/>
      <c r="Q225" s="94">
        <v>1850.0</v>
      </c>
      <c r="R225" s="94">
        <v>623.0</v>
      </c>
      <c r="S225" s="95" t="s">
        <v>1650</v>
      </c>
      <c r="T225" s="94">
        <v>1.0</v>
      </c>
      <c r="U225" s="96">
        <v>44559.0</v>
      </c>
      <c r="V225" s="97" t="s">
        <v>1651</v>
      </c>
      <c r="W225" s="97" t="s">
        <v>1652</v>
      </c>
      <c r="X225" s="79" t="s">
        <v>1653</v>
      </c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  <c r="AQ225" s="88"/>
      <c r="AR225" s="88"/>
    </row>
    <row r="226" ht="19.5" customHeight="1">
      <c r="A226" s="79">
        <v>215.0</v>
      </c>
      <c r="B226" s="91" t="s">
        <v>31</v>
      </c>
      <c r="C226" s="79" t="s">
        <v>1576</v>
      </c>
      <c r="D226" s="79" t="s">
        <v>1606</v>
      </c>
      <c r="E226" s="102" t="s">
        <v>1654</v>
      </c>
      <c r="F226" s="79" t="s">
        <v>22</v>
      </c>
      <c r="G226" s="80" t="s">
        <v>49</v>
      </c>
      <c r="H226" s="80" t="s">
        <v>22</v>
      </c>
      <c r="I226" s="79" t="s">
        <v>1613</v>
      </c>
      <c r="J226" s="80" t="s">
        <v>43</v>
      </c>
      <c r="K226" s="91" t="s">
        <v>1614</v>
      </c>
      <c r="L226" s="93" t="s">
        <v>1655</v>
      </c>
      <c r="M226" s="83">
        <f t="shared" si="1"/>
        <v>150</v>
      </c>
      <c r="N226" s="84">
        <v>150.0</v>
      </c>
      <c r="O226" s="84"/>
      <c r="P226" s="84"/>
      <c r="Q226" s="94">
        <v>7315.0</v>
      </c>
      <c r="R226" s="94">
        <v>5221.0</v>
      </c>
      <c r="S226" s="95" t="s">
        <v>1656</v>
      </c>
      <c r="T226" s="94">
        <v>5.0</v>
      </c>
      <c r="U226" s="96">
        <v>44427.0</v>
      </c>
      <c r="V226" s="97" t="s">
        <v>1657</v>
      </c>
      <c r="W226" s="97" t="s">
        <v>1658</v>
      </c>
      <c r="X226" s="79" t="s">
        <v>1659</v>
      </c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  <c r="AQ226" s="88"/>
      <c r="AR226" s="88"/>
    </row>
    <row r="227" ht="19.5" customHeight="1">
      <c r="A227" s="79">
        <v>216.0</v>
      </c>
      <c r="B227" s="91" t="s">
        <v>31</v>
      </c>
      <c r="C227" s="79" t="s">
        <v>1576</v>
      </c>
      <c r="D227" s="79" t="s">
        <v>1598</v>
      </c>
      <c r="E227" s="102" t="s">
        <v>1660</v>
      </c>
      <c r="F227" s="79" t="s">
        <v>22</v>
      </c>
      <c r="G227" s="80" t="s">
        <v>46</v>
      </c>
      <c r="H227" s="80" t="s">
        <v>22</v>
      </c>
      <c r="I227" s="79" t="s">
        <v>1661</v>
      </c>
      <c r="J227" s="80" t="s">
        <v>43</v>
      </c>
      <c r="K227" s="79" t="s">
        <v>1662</v>
      </c>
      <c r="L227" s="93" t="s">
        <v>1663</v>
      </c>
      <c r="M227" s="83">
        <f t="shared" si="1"/>
        <v>227</v>
      </c>
      <c r="N227" s="84"/>
      <c r="O227" s="84">
        <v>227.0</v>
      </c>
      <c r="P227" s="84"/>
      <c r="Q227" s="94">
        <v>33588.1</v>
      </c>
      <c r="R227" s="94">
        <v>13925.5293</v>
      </c>
      <c r="S227" s="95" t="s">
        <v>1664</v>
      </c>
      <c r="T227" s="94">
        <v>17.0</v>
      </c>
      <c r="U227" s="96">
        <v>45217.0</v>
      </c>
      <c r="V227" s="97" t="s">
        <v>1665</v>
      </c>
      <c r="W227" s="97"/>
      <c r="X227" s="79" t="s">
        <v>1666</v>
      </c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  <c r="AQ227" s="88"/>
      <c r="AR227" s="88"/>
    </row>
    <row r="228" ht="19.5" customHeight="1">
      <c r="A228" s="79">
        <v>217.0</v>
      </c>
      <c r="B228" s="91" t="s">
        <v>31</v>
      </c>
      <c r="C228" s="79" t="s">
        <v>1576</v>
      </c>
      <c r="D228" s="91" t="s">
        <v>1577</v>
      </c>
      <c r="E228" s="102" t="s">
        <v>1667</v>
      </c>
      <c r="F228" s="79" t="s">
        <v>22</v>
      </c>
      <c r="G228" s="80" t="s">
        <v>48</v>
      </c>
      <c r="H228" s="80" t="s">
        <v>22</v>
      </c>
      <c r="I228" s="79" t="s">
        <v>1668</v>
      </c>
      <c r="J228" s="80" t="s">
        <v>43</v>
      </c>
      <c r="K228" s="79"/>
      <c r="L228" s="93" t="s">
        <v>1669</v>
      </c>
      <c r="M228" s="83">
        <f t="shared" si="1"/>
        <v>152</v>
      </c>
      <c r="N228" s="84"/>
      <c r="O228" s="84">
        <v>152.0</v>
      </c>
      <c r="P228" s="84"/>
      <c r="Q228" s="94">
        <v>23174.0</v>
      </c>
      <c r="R228" s="94">
        <v>866.58</v>
      </c>
      <c r="S228" s="95" t="s">
        <v>350</v>
      </c>
      <c r="T228" s="94">
        <v>8.0</v>
      </c>
      <c r="U228" s="96">
        <v>45223.0</v>
      </c>
      <c r="V228" s="97"/>
      <c r="W228" s="97"/>
      <c r="X228" s="79" t="s">
        <v>1670</v>
      </c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  <c r="AQ228" s="88"/>
      <c r="AR228" s="88"/>
    </row>
    <row r="229" ht="19.5" customHeight="1">
      <c r="A229" s="79">
        <v>218.0</v>
      </c>
      <c r="B229" s="91" t="s">
        <v>31</v>
      </c>
      <c r="C229" s="91" t="s">
        <v>1671</v>
      </c>
      <c r="D229" s="91" t="s">
        <v>1672</v>
      </c>
      <c r="E229" s="92" t="s">
        <v>1673</v>
      </c>
      <c r="F229" s="91" t="s">
        <v>81</v>
      </c>
      <c r="G229" s="80" t="s">
        <v>42</v>
      </c>
      <c r="H229" s="80" t="s">
        <v>21</v>
      </c>
      <c r="I229" s="91" t="s">
        <v>1674</v>
      </c>
      <c r="J229" s="80" t="s">
        <v>45</v>
      </c>
      <c r="K229" s="91" t="s">
        <v>1675</v>
      </c>
      <c r="L229" s="82" t="s">
        <v>1676</v>
      </c>
      <c r="M229" s="83">
        <f t="shared" si="1"/>
        <v>380</v>
      </c>
      <c r="N229" s="84">
        <v>380.0</v>
      </c>
      <c r="O229" s="84">
        <v>0.0</v>
      </c>
      <c r="P229" s="84">
        <v>0.0</v>
      </c>
      <c r="Q229" s="94">
        <v>173969.0</v>
      </c>
      <c r="R229" s="94">
        <v>5942.0</v>
      </c>
      <c r="S229" s="95" t="s">
        <v>103</v>
      </c>
      <c r="T229" s="94">
        <v>1.0</v>
      </c>
      <c r="U229" s="96">
        <v>38157.0</v>
      </c>
      <c r="V229" s="97" t="s">
        <v>1677</v>
      </c>
      <c r="W229" s="97" t="s">
        <v>1678</v>
      </c>
      <c r="X229" s="79" t="s">
        <v>1679</v>
      </c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  <c r="AQ229" s="88"/>
      <c r="AR229" s="88"/>
    </row>
    <row r="230" ht="19.5" customHeight="1">
      <c r="A230" s="79">
        <v>219.0</v>
      </c>
      <c r="B230" s="91" t="s">
        <v>31</v>
      </c>
      <c r="C230" s="91" t="s">
        <v>1671</v>
      </c>
      <c r="D230" s="91" t="s">
        <v>1680</v>
      </c>
      <c r="E230" s="92" t="s">
        <v>1681</v>
      </c>
      <c r="F230" s="91" t="s">
        <v>81</v>
      </c>
      <c r="G230" s="80" t="s">
        <v>42</v>
      </c>
      <c r="H230" s="80" t="s">
        <v>21</v>
      </c>
      <c r="I230" s="91" t="s">
        <v>1674</v>
      </c>
      <c r="J230" s="80" t="s">
        <v>45</v>
      </c>
      <c r="K230" s="91" t="s">
        <v>1675</v>
      </c>
      <c r="L230" s="82" t="s">
        <v>1682</v>
      </c>
      <c r="M230" s="83">
        <f t="shared" si="1"/>
        <v>350</v>
      </c>
      <c r="N230" s="84">
        <v>350.0</v>
      </c>
      <c r="O230" s="84">
        <v>0.0</v>
      </c>
      <c r="P230" s="84">
        <v>0.0</v>
      </c>
      <c r="Q230" s="94">
        <v>1037.0</v>
      </c>
      <c r="R230" s="94">
        <v>4119.34</v>
      </c>
      <c r="S230" s="95" t="s">
        <v>1683</v>
      </c>
      <c r="T230" s="94">
        <v>1.0</v>
      </c>
      <c r="U230" s="96">
        <v>42195.0</v>
      </c>
      <c r="V230" s="97" t="s">
        <v>1684</v>
      </c>
      <c r="W230" s="97" t="s">
        <v>1685</v>
      </c>
      <c r="X230" s="79" t="s">
        <v>1686</v>
      </c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  <c r="AQ230" s="88"/>
      <c r="AR230" s="88"/>
    </row>
    <row r="231" ht="19.5" customHeight="1">
      <c r="A231" s="79">
        <v>220.0</v>
      </c>
      <c r="B231" s="91" t="s">
        <v>31</v>
      </c>
      <c r="C231" s="91" t="s">
        <v>1671</v>
      </c>
      <c r="D231" s="91" t="s">
        <v>1687</v>
      </c>
      <c r="E231" s="92" t="s">
        <v>1688</v>
      </c>
      <c r="F231" s="91" t="s">
        <v>81</v>
      </c>
      <c r="G231" s="80" t="s">
        <v>44</v>
      </c>
      <c r="H231" s="80" t="s">
        <v>21</v>
      </c>
      <c r="I231" s="91" t="s">
        <v>1674</v>
      </c>
      <c r="J231" s="80" t="s">
        <v>45</v>
      </c>
      <c r="K231" s="91" t="s">
        <v>1675</v>
      </c>
      <c r="L231" s="82" t="s">
        <v>1689</v>
      </c>
      <c r="M231" s="83">
        <f t="shared" si="1"/>
        <v>150</v>
      </c>
      <c r="N231" s="84">
        <v>150.0</v>
      </c>
      <c r="O231" s="84">
        <v>0.0</v>
      </c>
      <c r="P231" s="84">
        <v>0.0</v>
      </c>
      <c r="Q231" s="94">
        <v>725.0</v>
      </c>
      <c r="R231" s="94">
        <v>725.1</v>
      </c>
      <c r="S231" s="95" t="s">
        <v>704</v>
      </c>
      <c r="T231" s="94">
        <v>1.0</v>
      </c>
      <c r="U231" s="96">
        <v>38646.0</v>
      </c>
      <c r="V231" s="97" t="s">
        <v>1690</v>
      </c>
      <c r="W231" s="97" t="s">
        <v>1691</v>
      </c>
      <c r="X231" s="79" t="s">
        <v>1692</v>
      </c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  <c r="AQ231" s="88"/>
      <c r="AR231" s="88"/>
    </row>
    <row r="232" ht="19.5" customHeight="1">
      <c r="A232" s="79">
        <v>221.0</v>
      </c>
      <c r="B232" s="91" t="s">
        <v>31</v>
      </c>
      <c r="C232" s="91" t="s">
        <v>1671</v>
      </c>
      <c r="D232" s="91" t="s">
        <v>1693</v>
      </c>
      <c r="E232" s="92" t="s">
        <v>1694</v>
      </c>
      <c r="F232" s="91" t="s">
        <v>81</v>
      </c>
      <c r="G232" s="80" t="s">
        <v>44</v>
      </c>
      <c r="H232" s="80" t="s">
        <v>21</v>
      </c>
      <c r="I232" s="91" t="s">
        <v>1674</v>
      </c>
      <c r="J232" s="80" t="s">
        <v>45</v>
      </c>
      <c r="K232" s="91" t="s">
        <v>1675</v>
      </c>
      <c r="L232" s="82" t="s">
        <v>1695</v>
      </c>
      <c r="M232" s="83">
        <f t="shared" si="1"/>
        <v>120</v>
      </c>
      <c r="N232" s="84">
        <v>120.0</v>
      </c>
      <c r="O232" s="84">
        <v>0.0</v>
      </c>
      <c r="P232" s="84">
        <v>0.0</v>
      </c>
      <c r="Q232" s="94">
        <v>460.0</v>
      </c>
      <c r="R232" s="94">
        <v>460.43</v>
      </c>
      <c r="S232" s="95" t="s">
        <v>1696</v>
      </c>
      <c r="T232" s="94">
        <v>1.0</v>
      </c>
      <c r="U232" s="96">
        <v>42193.0</v>
      </c>
      <c r="V232" s="97" t="s">
        <v>1697</v>
      </c>
      <c r="W232" s="97" t="s">
        <v>1698</v>
      </c>
      <c r="X232" s="79" t="s">
        <v>1699</v>
      </c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  <c r="AQ232" s="88"/>
      <c r="AR232" s="88"/>
    </row>
    <row r="233" ht="19.5" customHeight="1">
      <c r="A233" s="79">
        <v>222.0</v>
      </c>
      <c r="B233" s="91" t="s">
        <v>31</v>
      </c>
      <c r="C233" s="91" t="s">
        <v>1671</v>
      </c>
      <c r="D233" s="91" t="s">
        <v>1700</v>
      </c>
      <c r="E233" s="92" t="s">
        <v>1701</v>
      </c>
      <c r="F233" s="91" t="s">
        <v>81</v>
      </c>
      <c r="G233" s="80" t="s">
        <v>42</v>
      </c>
      <c r="H233" s="80" t="s">
        <v>21</v>
      </c>
      <c r="I233" s="91" t="s">
        <v>1674</v>
      </c>
      <c r="J233" s="80" t="s">
        <v>45</v>
      </c>
      <c r="K233" s="91" t="s">
        <v>1675</v>
      </c>
      <c r="L233" s="82" t="s">
        <v>1702</v>
      </c>
      <c r="M233" s="83">
        <f t="shared" si="1"/>
        <v>498</v>
      </c>
      <c r="N233" s="84">
        <v>498.0</v>
      </c>
      <c r="O233" s="84">
        <v>0.0</v>
      </c>
      <c r="P233" s="84">
        <v>0.0</v>
      </c>
      <c r="Q233" s="94">
        <v>866.3</v>
      </c>
      <c r="R233" s="94">
        <v>3381.88</v>
      </c>
      <c r="S233" s="95" t="s">
        <v>1703</v>
      </c>
      <c r="T233" s="94">
        <v>1.0</v>
      </c>
      <c r="U233" s="96">
        <v>43256.0</v>
      </c>
      <c r="V233" s="97" t="s">
        <v>1704</v>
      </c>
      <c r="W233" s="97" t="s">
        <v>1705</v>
      </c>
      <c r="X233" s="79" t="s">
        <v>1706</v>
      </c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  <c r="AQ233" s="88"/>
      <c r="AR233" s="88"/>
    </row>
    <row r="234" ht="19.5" customHeight="1">
      <c r="A234" s="79">
        <v>223.0</v>
      </c>
      <c r="B234" s="91" t="s">
        <v>31</v>
      </c>
      <c r="C234" s="91" t="s">
        <v>1671</v>
      </c>
      <c r="D234" s="91" t="s">
        <v>1707</v>
      </c>
      <c r="E234" s="92" t="s">
        <v>1708</v>
      </c>
      <c r="F234" s="91" t="s">
        <v>22</v>
      </c>
      <c r="G234" s="80" t="s">
        <v>46</v>
      </c>
      <c r="H234" s="80" t="s">
        <v>22</v>
      </c>
      <c r="I234" s="91" t="s">
        <v>1709</v>
      </c>
      <c r="J234" s="80" t="s">
        <v>43</v>
      </c>
      <c r="K234" s="91" t="s">
        <v>1709</v>
      </c>
      <c r="L234" s="82" t="s">
        <v>1710</v>
      </c>
      <c r="M234" s="83">
        <f t="shared" si="1"/>
        <v>347</v>
      </c>
      <c r="N234" s="84"/>
      <c r="O234" s="84">
        <v>347.0</v>
      </c>
      <c r="P234" s="84"/>
      <c r="Q234" s="94">
        <v>54232.0</v>
      </c>
      <c r="R234" s="94">
        <v>26135.0</v>
      </c>
      <c r="S234" s="95" t="s">
        <v>1711</v>
      </c>
      <c r="T234" s="94">
        <v>3.0</v>
      </c>
      <c r="U234" s="96">
        <v>36449.0</v>
      </c>
      <c r="V234" s="97" t="s">
        <v>1712</v>
      </c>
      <c r="W234" s="97" t="s">
        <v>1713</v>
      </c>
      <c r="X234" s="79" t="s">
        <v>1714</v>
      </c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  <c r="AQ234" s="88"/>
      <c r="AR234" s="88"/>
    </row>
    <row r="235" ht="19.5" customHeight="1">
      <c r="A235" s="79">
        <v>224.0</v>
      </c>
      <c r="B235" s="91" t="s">
        <v>31</v>
      </c>
      <c r="C235" s="91" t="s">
        <v>1715</v>
      </c>
      <c r="D235" s="91" t="s">
        <v>1716</v>
      </c>
      <c r="E235" s="92" t="s">
        <v>1717</v>
      </c>
      <c r="F235" s="91" t="s">
        <v>22</v>
      </c>
      <c r="G235" s="80" t="s">
        <v>48</v>
      </c>
      <c r="H235" s="80" t="s">
        <v>22</v>
      </c>
      <c r="I235" s="91" t="s">
        <v>1718</v>
      </c>
      <c r="J235" s="80" t="s">
        <v>43</v>
      </c>
      <c r="K235" s="91" t="s">
        <v>1718</v>
      </c>
      <c r="L235" s="82" t="s">
        <v>1719</v>
      </c>
      <c r="M235" s="83">
        <f t="shared" si="1"/>
        <v>1019</v>
      </c>
      <c r="N235" s="84"/>
      <c r="O235" s="84">
        <v>99.0</v>
      </c>
      <c r="P235" s="84">
        <v>920.0</v>
      </c>
      <c r="Q235" s="94">
        <v>32135.0</v>
      </c>
      <c r="R235" s="94">
        <v>6085.0</v>
      </c>
      <c r="S235" s="95" t="s">
        <v>291</v>
      </c>
      <c r="T235" s="94">
        <v>1.0</v>
      </c>
      <c r="U235" s="96">
        <v>37203.0</v>
      </c>
      <c r="V235" s="97" t="s">
        <v>1720</v>
      </c>
      <c r="W235" s="97" t="s">
        <v>1721</v>
      </c>
      <c r="X235" s="79" t="s">
        <v>1722</v>
      </c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  <c r="AQ235" s="88"/>
      <c r="AR235" s="88"/>
    </row>
    <row r="236" ht="19.5" customHeight="1">
      <c r="A236" s="79">
        <v>225.0</v>
      </c>
      <c r="B236" s="91" t="s">
        <v>31</v>
      </c>
      <c r="C236" s="91" t="s">
        <v>1715</v>
      </c>
      <c r="D236" s="91" t="s">
        <v>1723</v>
      </c>
      <c r="E236" s="92" t="s">
        <v>1724</v>
      </c>
      <c r="F236" s="91" t="s">
        <v>81</v>
      </c>
      <c r="G236" s="80" t="s">
        <v>44</v>
      </c>
      <c r="H236" s="80" t="s">
        <v>21</v>
      </c>
      <c r="I236" s="91" t="s">
        <v>1674</v>
      </c>
      <c r="J236" s="80" t="s">
        <v>45</v>
      </c>
      <c r="K236" s="91" t="s">
        <v>1675</v>
      </c>
      <c r="L236" s="82" t="s">
        <v>1725</v>
      </c>
      <c r="M236" s="83">
        <f t="shared" si="1"/>
        <v>80</v>
      </c>
      <c r="N236" s="84">
        <v>80.0</v>
      </c>
      <c r="O236" s="84">
        <v>0.0</v>
      </c>
      <c r="P236" s="84">
        <v>0.0</v>
      </c>
      <c r="Q236" s="94">
        <v>2798.0</v>
      </c>
      <c r="R236" s="94">
        <v>491.61</v>
      </c>
      <c r="S236" s="95" t="s">
        <v>217</v>
      </c>
      <c r="T236" s="94">
        <v>1.0</v>
      </c>
      <c r="U236" s="96">
        <v>45275.0</v>
      </c>
      <c r="V236" s="97" t="s">
        <v>1726</v>
      </c>
      <c r="W236" s="97" t="s">
        <v>1727</v>
      </c>
      <c r="X236" s="79" t="s">
        <v>1728</v>
      </c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  <c r="AQ236" s="88"/>
      <c r="AR236" s="88"/>
    </row>
    <row r="237" ht="19.5" customHeight="1">
      <c r="A237" s="79">
        <v>226.0</v>
      </c>
      <c r="B237" s="91" t="s">
        <v>31</v>
      </c>
      <c r="C237" s="95" t="s">
        <v>1729</v>
      </c>
      <c r="D237" s="95" t="s">
        <v>1730</v>
      </c>
      <c r="E237" s="100" t="s">
        <v>1731</v>
      </c>
      <c r="F237" s="95" t="s">
        <v>81</v>
      </c>
      <c r="G237" s="80" t="s">
        <v>42</v>
      </c>
      <c r="H237" s="80" t="s">
        <v>21</v>
      </c>
      <c r="I237" s="95" t="s">
        <v>1732</v>
      </c>
      <c r="J237" s="80" t="s">
        <v>43</v>
      </c>
      <c r="K237" s="95" t="s">
        <v>1733</v>
      </c>
      <c r="L237" s="82" t="s">
        <v>1734</v>
      </c>
      <c r="M237" s="83">
        <f t="shared" si="1"/>
        <v>912</v>
      </c>
      <c r="N237" s="84">
        <v>912.0</v>
      </c>
      <c r="O237" s="84"/>
      <c r="P237" s="84"/>
      <c r="Q237" s="94">
        <v>8331.0</v>
      </c>
      <c r="R237" s="94">
        <v>8318.31</v>
      </c>
      <c r="S237" s="95" t="s">
        <v>194</v>
      </c>
      <c r="T237" s="94">
        <v>2.0</v>
      </c>
      <c r="U237" s="96">
        <v>39455.0</v>
      </c>
      <c r="V237" s="97" t="s">
        <v>1735</v>
      </c>
      <c r="W237" s="97" t="s">
        <v>1736</v>
      </c>
      <c r="X237" s="79" t="s">
        <v>1737</v>
      </c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  <c r="AQ237" s="88"/>
      <c r="AR237" s="88"/>
    </row>
    <row r="238" ht="19.5" customHeight="1">
      <c r="A238" s="79">
        <v>227.0</v>
      </c>
      <c r="B238" s="91" t="s">
        <v>31</v>
      </c>
      <c r="C238" s="91" t="s">
        <v>1729</v>
      </c>
      <c r="D238" s="91" t="s">
        <v>1738</v>
      </c>
      <c r="E238" s="92" t="s">
        <v>1739</v>
      </c>
      <c r="F238" s="91" t="s">
        <v>81</v>
      </c>
      <c r="G238" s="80" t="s">
        <v>44</v>
      </c>
      <c r="H238" s="80" t="s">
        <v>21</v>
      </c>
      <c r="I238" s="91" t="s">
        <v>1732</v>
      </c>
      <c r="J238" s="80" t="s">
        <v>45</v>
      </c>
      <c r="K238" s="95" t="s">
        <v>1740</v>
      </c>
      <c r="L238" s="82" t="s">
        <v>1741</v>
      </c>
      <c r="M238" s="83">
        <f t="shared" si="1"/>
        <v>60</v>
      </c>
      <c r="N238" s="84">
        <v>60.0</v>
      </c>
      <c r="O238" s="84">
        <v>0.0</v>
      </c>
      <c r="P238" s="84">
        <v>0.0</v>
      </c>
      <c r="Q238" s="94">
        <v>269.29</v>
      </c>
      <c r="R238" s="94">
        <v>269.29</v>
      </c>
      <c r="S238" s="95" t="s">
        <v>350</v>
      </c>
      <c r="T238" s="94">
        <v>1.0</v>
      </c>
      <c r="U238" s="96">
        <v>44152.0</v>
      </c>
      <c r="V238" s="97" t="s">
        <v>1742</v>
      </c>
      <c r="W238" s="97" t="s">
        <v>1743</v>
      </c>
      <c r="X238" s="79" t="s">
        <v>1744</v>
      </c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  <c r="AQ238" s="88"/>
      <c r="AR238" s="88"/>
    </row>
    <row r="239" ht="19.5" customHeight="1">
      <c r="A239" s="79">
        <v>228.0</v>
      </c>
      <c r="B239" s="91" t="s">
        <v>31</v>
      </c>
      <c r="C239" s="91" t="s">
        <v>1745</v>
      </c>
      <c r="D239" s="91" t="s">
        <v>1746</v>
      </c>
      <c r="E239" s="92" t="s">
        <v>1747</v>
      </c>
      <c r="F239" s="91" t="s">
        <v>81</v>
      </c>
      <c r="G239" s="80" t="s">
        <v>42</v>
      </c>
      <c r="H239" s="80" t="s">
        <v>21</v>
      </c>
      <c r="I239" s="91" t="s">
        <v>1748</v>
      </c>
      <c r="J239" s="80" t="s">
        <v>45</v>
      </c>
      <c r="K239" s="91" t="s">
        <v>1749</v>
      </c>
      <c r="L239" s="82" t="s">
        <v>1750</v>
      </c>
      <c r="M239" s="83">
        <f t="shared" si="1"/>
        <v>400</v>
      </c>
      <c r="N239" s="84">
        <v>400.0</v>
      </c>
      <c r="O239" s="84"/>
      <c r="P239" s="84"/>
      <c r="Q239" s="94">
        <v>87838.0</v>
      </c>
      <c r="R239" s="94">
        <v>6099.0</v>
      </c>
      <c r="S239" s="95" t="s">
        <v>1751</v>
      </c>
      <c r="T239" s="94">
        <v>1.0</v>
      </c>
      <c r="U239" s="96">
        <v>41883.0</v>
      </c>
      <c r="V239" s="97" t="s">
        <v>1752</v>
      </c>
      <c r="W239" s="97" t="s">
        <v>1753</v>
      </c>
      <c r="X239" s="79" t="s">
        <v>1754</v>
      </c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  <c r="AQ239" s="88"/>
      <c r="AR239" s="88"/>
    </row>
    <row r="240" ht="19.5" customHeight="1">
      <c r="A240" s="79">
        <v>229.0</v>
      </c>
      <c r="B240" s="91" t="s">
        <v>31</v>
      </c>
      <c r="C240" s="91" t="s">
        <v>1745</v>
      </c>
      <c r="D240" s="91" t="s">
        <v>1755</v>
      </c>
      <c r="E240" s="92" t="s">
        <v>1756</v>
      </c>
      <c r="F240" s="91" t="s">
        <v>81</v>
      </c>
      <c r="G240" s="80" t="s">
        <v>44</v>
      </c>
      <c r="H240" s="80" t="s">
        <v>21</v>
      </c>
      <c r="I240" s="91" t="s">
        <v>1748</v>
      </c>
      <c r="J240" s="80" t="s">
        <v>45</v>
      </c>
      <c r="K240" s="91" t="s">
        <v>1749</v>
      </c>
      <c r="L240" s="82" t="s">
        <v>1757</v>
      </c>
      <c r="M240" s="83">
        <f t="shared" si="1"/>
        <v>80</v>
      </c>
      <c r="N240" s="84">
        <v>80.0</v>
      </c>
      <c r="O240" s="84"/>
      <c r="P240" s="84"/>
      <c r="Q240" s="94">
        <v>420.0</v>
      </c>
      <c r="R240" s="94">
        <v>336.0</v>
      </c>
      <c r="S240" s="95" t="s">
        <v>1758</v>
      </c>
      <c r="T240" s="94">
        <v>1.0</v>
      </c>
      <c r="U240" s="96">
        <v>39678.0</v>
      </c>
      <c r="V240" s="97" t="s">
        <v>1759</v>
      </c>
      <c r="W240" s="97" t="s">
        <v>1760</v>
      </c>
      <c r="X240" s="79" t="s">
        <v>1761</v>
      </c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  <c r="AQ240" s="88"/>
      <c r="AR240" s="88"/>
    </row>
    <row r="241" ht="19.5" customHeight="1">
      <c r="A241" s="79">
        <v>230.0</v>
      </c>
      <c r="B241" s="91" t="s">
        <v>31</v>
      </c>
      <c r="C241" s="91" t="s">
        <v>1745</v>
      </c>
      <c r="D241" s="91" t="s">
        <v>1755</v>
      </c>
      <c r="E241" s="92" t="s">
        <v>1762</v>
      </c>
      <c r="F241" s="91" t="s">
        <v>81</v>
      </c>
      <c r="G241" s="80" t="s">
        <v>44</v>
      </c>
      <c r="H241" s="80" t="s">
        <v>21</v>
      </c>
      <c r="I241" s="91" t="s">
        <v>1748</v>
      </c>
      <c r="J241" s="80" t="s">
        <v>45</v>
      </c>
      <c r="K241" s="91" t="s">
        <v>1749</v>
      </c>
      <c r="L241" s="82" t="s">
        <v>1763</v>
      </c>
      <c r="M241" s="83">
        <f t="shared" si="1"/>
        <v>100</v>
      </c>
      <c r="N241" s="84">
        <v>100.0</v>
      </c>
      <c r="O241" s="84"/>
      <c r="P241" s="84"/>
      <c r="Q241" s="94">
        <v>640.0</v>
      </c>
      <c r="R241" s="94">
        <v>541.0</v>
      </c>
      <c r="S241" s="95" t="s">
        <v>1764</v>
      </c>
      <c r="T241" s="94">
        <v>1.0</v>
      </c>
      <c r="U241" s="96">
        <v>39678.0</v>
      </c>
      <c r="V241" s="97" t="s">
        <v>1765</v>
      </c>
      <c r="W241" s="97" t="s">
        <v>1766</v>
      </c>
      <c r="X241" s="79" t="s">
        <v>1767</v>
      </c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  <c r="AQ241" s="88"/>
      <c r="AR241" s="88"/>
    </row>
    <row r="242" ht="19.5" customHeight="1">
      <c r="A242" s="79">
        <v>231.0</v>
      </c>
      <c r="B242" s="91" t="s">
        <v>31</v>
      </c>
      <c r="C242" s="91" t="s">
        <v>1745</v>
      </c>
      <c r="D242" s="91" t="s">
        <v>1768</v>
      </c>
      <c r="E242" s="92" t="s">
        <v>1769</v>
      </c>
      <c r="F242" s="91" t="s">
        <v>81</v>
      </c>
      <c r="G242" s="80" t="s">
        <v>44</v>
      </c>
      <c r="H242" s="80" t="s">
        <v>21</v>
      </c>
      <c r="I242" s="91" t="s">
        <v>1748</v>
      </c>
      <c r="J242" s="80" t="s">
        <v>45</v>
      </c>
      <c r="K242" s="91" t="s">
        <v>1749</v>
      </c>
      <c r="L242" s="82" t="s">
        <v>1770</v>
      </c>
      <c r="M242" s="83">
        <f t="shared" si="1"/>
        <v>90</v>
      </c>
      <c r="N242" s="84">
        <v>90.0</v>
      </c>
      <c r="O242" s="84"/>
      <c r="P242" s="84"/>
      <c r="Q242" s="94">
        <v>472.92</v>
      </c>
      <c r="R242" s="94">
        <v>472.92</v>
      </c>
      <c r="S242" s="95" t="s">
        <v>1771</v>
      </c>
      <c r="T242" s="94">
        <v>1.0</v>
      </c>
      <c r="U242" s="96">
        <v>41306.0</v>
      </c>
      <c r="V242" s="97" t="s">
        <v>1772</v>
      </c>
      <c r="W242" s="97" t="s">
        <v>1773</v>
      </c>
      <c r="X242" s="79" t="s">
        <v>1774</v>
      </c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  <c r="AQ242" s="88"/>
      <c r="AR242" s="88"/>
    </row>
    <row r="243" ht="19.5" customHeight="1">
      <c r="A243" s="79">
        <v>232.0</v>
      </c>
      <c r="B243" s="91" t="s">
        <v>31</v>
      </c>
      <c r="C243" s="91" t="s">
        <v>1745</v>
      </c>
      <c r="D243" s="91" t="s">
        <v>1775</v>
      </c>
      <c r="E243" s="92" t="s">
        <v>1776</v>
      </c>
      <c r="F243" s="91" t="s">
        <v>81</v>
      </c>
      <c r="G243" s="80" t="s">
        <v>44</v>
      </c>
      <c r="H243" s="80" t="s">
        <v>21</v>
      </c>
      <c r="I243" s="91" t="s">
        <v>1748</v>
      </c>
      <c r="J243" s="80" t="s">
        <v>45</v>
      </c>
      <c r="K243" s="91" t="s">
        <v>1749</v>
      </c>
      <c r="L243" s="82" t="s">
        <v>1777</v>
      </c>
      <c r="M243" s="83">
        <f t="shared" si="1"/>
        <v>90</v>
      </c>
      <c r="N243" s="84">
        <v>90.0</v>
      </c>
      <c r="O243" s="84"/>
      <c r="P243" s="84"/>
      <c r="Q243" s="94">
        <v>1434.0</v>
      </c>
      <c r="R243" s="94">
        <v>441.0</v>
      </c>
      <c r="S243" s="95" t="s">
        <v>1778</v>
      </c>
      <c r="T243" s="94">
        <v>1.0</v>
      </c>
      <c r="U243" s="96">
        <v>41893.0</v>
      </c>
      <c r="V243" s="97" t="s">
        <v>1779</v>
      </c>
      <c r="W243" s="97" t="s">
        <v>1780</v>
      </c>
      <c r="X243" s="79" t="s">
        <v>1781</v>
      </c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  <c r="AQ243" s="88"/>
      <c r="AR243" s="88"/>
    </row>
    <row r="244" ht="19.5" customHeight="1">
      <c r="A244" s="79">
        <v>233.0</v>
      </c>
      <c r="B244" s="91" t="s">
        <v>31</v>
      </c>
      <c r="C244" s="91" t="s">
        <v>1745</v>
      </c>
      <c r="D244" s="91" t="s">
        <v>1755</v>
      </c>
      <c r="E244" s="92" t="s">
        <v>1782</v>
      </c>
      <c r="F244" s="91" t="s">
        <v>81</v>
      </c>
      <c r="G244" s="80" t="s">
        <v>44</v>
      </c>
      <c r="H244" s="80" t="s">
        <v>21</v>
      </c>
      <c r="I244" s="91" t="s">
        <v>1748</v>
      </c>
      <c r="J244" s="80" t="s">
        <v>45</v>
      </c>
      <c r="K244" s="91" t="s">
        <v>1749</v>
      </c>
      <c r="L244" s="93" t="s">
        <v>1783</v>
      </c>
      <c r="M244" s="83">
        <f t="shared" si="1"/>
        <v>80</v>
      </c>
      <c r="N244" s="84">
        <v>80.0</v>
      </c>
      <c r="O244" s="84"/>
      <c r="P244" s="84"/>
      <c r="Q244" s="94">
        <v>385.0</v>
      </c>
      <c r="R244" s="94">
        <v>385.0</v>
      </c>
      <c r="S244" s="95" t="s">
        <v>1784</v>
      </c>
      <c r="T244" s="94">
        <v>1.0</v>
      </c>
      <c r="U244" s="96">
        <v>44613.0</v>
      </c>
      <c r="V244" s="97" t="s">
        <v>1785</v>
      </c>
      <c r="W244" s="97" t="s">
        <v>1786</v>
      </c>
      <c r="X244" s="79" t="s">
        <v>1787</v>
      </c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  <c r="AQ244" s="88"/>
      <c r="AR244" s="88"/>
    </row>
    <row r="245" ht="19.5" customHeight="1">
      <c r="A245" s="79">
        <v>234.0</v>
      </c>
      <c r="B245" s="91" t="s">
        <v>31</v>
      </c>
      <c r="C245" s="91" t="s">
        <v>1788</v>
      </c>
      <c r="D245" s="91" t="s">
        <v>1789</v>
      </c>
      <c r="E245" s="92" t="s">
        <v>1790</v>
      </c>
      <c r="F245" s="91" t="s">
        <v>81</v>
      </c>
      <c r="G245" s="80" t="s">
        <v>42</v>
      </c>
      <c r="H245" s="80" t="s">
        <v>21</v>
      </c>
      <c r="I245" s="91" t="s">
        <v>1224</v>
      </c>
      <c r="J245" s="80" t="s">
        <v>45</v>
      </c>
      <c r="K245" s="91" t="s">
        <v>1791</v>
      </c>
      <c r="L245" s="82" t="s">
        <v>1792</v>
      </c>
      <c r="M245" s="83">
        <f t="shared" si="1"/>
        <v>770</v>
      </c>
      <c r="N245" s="84">
        <v>770.0</v>
      </c>
      <c r="O245" s="84">
        <v>0.0</v>
      </c>
      <c r="P245" s="84">
        <v>0.0</v>
      </c>
      <c r="Q245" s="94">
        <v>6472.0</v>
      </c>
      <c r="R245" s="94">
        <v>9715.0</v>
      </c>
      <c r="S245" s="95" t="s">
        <v>1793</v>
      </c>
      <c r="T245" s="94">
        <v>1.0</v>
      </c>
      <c r="U245" s="96">
        <v>42048.0</v>
      </c>
      <c r="V245" s="97" t="s">
        <v>1794</v>
      </c>
      <c r="W245" s="97" t="s">
        <v>1795</v>
      </c>
      <c r="X245" s="79" t="s">
        <v>1796</v>
      </c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  <c r="AQ245" s="88"/>
      <c r="AR245" s="88"/>
    </row>
    <row r="246" ht="19.5" customHeight="1">
      <c r="A246" s="79">
        <v>235.0</v>
      </c>
      <c r="B246" s="91" t="s">
        <v>31</v>
      </c>
      <c r="C246" s="91" t="s">
        <v>1788</v>
      </c>
      <c r="D246" s="91" t="s">
        <v>1797</v>
      </c>
      <c r="E246" s="92" t="s">
        <v>1798</v>
      </c>
      <c r="F246" s="91" t="s">
        <v>22</v>
      </c>
      <c r="G246" s="80" t="s">
        <v>48</v>
      </c>
      <c r="H246" s="80" t="s">
        <v>22</v>
      </c>
      <c r="I246" s="91" t="s">
        <v>1799</v>
      </c>
      <c r="J246" s="80" t="s">
        <v>43</v>
      </c>
      <c r="K246" s="91" t="s">
        <v>1718</v>
      </c>
      <c r="L246" s="82" t="s">
        <v>1800</v>
      </c>
      <c r="M246" s="83">
        <f t="shared" si="1"/>
        <v>950</v>
      </c>
      <c r="N246" s="84">
        <v>0.0</v>
      </c>
      <c r="O246" s="84">
        <v>0.0</v>
      </c>
      <c r="P246" s="84">
        <v>950.0</v>
      </c>
      <c r="Q246" s="94">
        <v>29950.0</v>
      </c>
      <c r="R246" s="94">
        <v>1556.0</v>
      </c>
      <c r="S246" s="95" t="s">
        <v>1801</v>
      </c>
      <c r="T246" s="94">
        <v>4.0</v>
      </c>
      <c r="U246" s="96">
        <v>35014.0</v>
      </c>
      <c r="V246" s="97" t="s">
        <v>1802</v>
      </c>
      <c r="W246" s="97" t="s">
        <v>1803</v>
      </c>
      <c r="X246" s="79" t="s">
        <v>1804</v>
      </c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  <c r="AQ246" s="88"/>
      <c r="AR246" s="88"/>
    </row>
    <row r="247" ht="19.5" customHeight="1">
      <c r="A247" s="79">
        <v>236.0</v>
      </c>
      <c r="B247" s="91" t="s">
        <v>31</v>
      </c>
      <c r="C247" s="91" t="s">
        <v>1788</v>
      </c>
      <c r="D247" s="91" t="s">
        <v>1805</v>
      </c>
      <c r="E247" s="92" t="s">
        <v>1806</v>
      </c>
      <c r="F247" s="91" t="s">
        <v>1807</v>
      </c>
      <c r="G247" s="80" t="s">
        <v>48</v>
      </c>
      <c r="H247" s="80" t="s">
        <v>21</v>
      </c>
      <c r="I247" s="91" t="s">
        <v>1808</v>
      </c>
      <c r="J247" s="80" t="s">
        <v>45</v>
      </c>
      <c r="K247" s="91" t="s">
        <v>1809</v>
      </c>
      <c r="L247" s="82" t="s">
        <v>1810</v>
      </c>
      <c r="M247" s="83">
        <f t="shared" si="1"/>
        <v>1200</v>
      </c>
      <c r="N247" s="84">
        <v>0.0</v>
      </c>
      <c r="O247" s="84">
        <v>0.0</v>
      </c>
      <c r="P247" s="84">
        <v>1200.0</v>
      </c>
      <c r="Q247" s="94">
        <v>260980.0</v>
      </c>
      <c r="R247" s="94">
        <v>3940.0</v>
      </c>
      <c r="S247" s="95" t="s">
        <v>314</v>
      </c>
      <c r="T247" s="94">
        <v>28.0</v>
      </c>
      <c r="U247" s="96">
        <v>37179.0</v>
      </c>
      <c r="V247" s="97" t="s">
        <v>1811</v>
      </c>
      <c r="W247" s="97" t="s">
        <v>1812</v>
      </c>
      <c r="X247" s="79" t="s">
        <v>1813</v>
      </c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  <c r="AQ247" s="88"/>
      <c r="AR247" s="88"/>
    </row>
    <row r="248" ht="19.5" customHeight="1">
      <c r="A248" s="79">
        <v>237.0</v>
      </c>
      <c r="B248" s="91" t="s">
        <v>31</v>
      </c>
      <c r="C248" s="79" t="s">
        <v>1788</v>
      </c>
      <c r="D248" s="79" t="s">
        <v>1805</v>
      </c>
      <c r="E248" s="102" t="s">
        <v>1814</v>
      </c>
      <c r="F248" s="91" t="s">
        <v>81</v>
      </c>
      <c r="G248" s="80" t="s">
        <v>44</v>
      </c>
      <c r="H248" s="80" t="s">
        <v>21</v>
      </c>
      <c r="I248" s="91" t="s">
        <v>1224</v>
      </c>
      <c r="J248" s="80" t="s">
        <v>45</v>
      </c>
      <c r="K248" s="91" t="s">
        <v>1791</v>
      </c>
      <c r="L248" s="82" t="s">
        <v>1815</v>
      </c>
      <c r="M248" s="83">
        <f t="shared" si="1"/>
        <v>195</v>
      </c>
      <c r="N248" s="84">
        <v>195.0</v>
      </c>
      <c r="O248" s="84">
        <v>0.0</v>
      </c>
      <c r="P248" s="84">
        <v>0.0</v>
      </c>
      <c r="Q248" s="94">
        <v>3558.0</v>
      </c>
      <c r="R248" s="94">
        <v>3870.2</v>
      </c>
      <c r="S248" s="95" t="s">
        <v>1816</v>
      </c>
      <c r="T248" s="94">
        <v>1.0</v>
      </c>
      <c r="U248" s="96">
        <v>44785.0</v>
      </c>
      <c r="V248" s="97" t="s">
        <v>1817</v>
      </c>
      <c r="W248" s="97" t="s">
        <v>1818</v>
      </c>
      <c r="X248" s="79" t="s">
        <v>1819</v>
      </c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  <c r="AQ248" s="88"/>
      <c r="AR248" s="88"/>
    </row>
    <row r="249" ht="19.5" customHeight="1">
      <c r="A249" s="79">
        <v>238.0</v>
      </c>
      <c r="B249" s="91" t="s">
        <v>31</v>
      </c>
      <c r="C249" s="91" t="s">
        <v>1820</v>
      </c>
      <c r="D249" s="91" t="s">
        <v>1821</v>
      </c>
      <c r="E249" s="92" t="s">
        <v>1822</v>
      </c>
      <c r="F249" s="91" t="s">
        <v>81</v>
      </c>
      <c r="G249" s="80" t="s">
        <v>42</v>
      </c>
      <c r="H249" s="80" t="s">
        <v>21</v>
      </c>
      <c r="I249" s="91" t="s">
        <v>1823</v>
      </c>
      <c r="J249" s="80" t="s">
        <v>45</v>
      </c>
      <c r="K249" s="91" t="s">
        <v>1824</v>
      </c>
      <c r="L249" s="82" t="s">
        <v>1825</v>
      </c>
      <c r="M249" s="83">
        <f t="shared" si="1"/>
        <v>800</v>
      </c>
      <c r="N249" s="84">
        <v>800.0</v>
      </c>
      <c r="O249" s="84">
        <v>0.0</v>
      </c>
      <c r="P249" s="84">
        <v>0.0</v>
      </c>
      <c r="Q249" s="94">
        <v>2984.0</v>
      </c>
      <c r="R249" s="94">
        <v>7514.0</v>
      </c>
      <c r="S249" s="95" t="s">
        <v>112</v>
      </c>
      <c r="T249" s="94">
        <v>1.0</v>
      </c>
      <c r="U249" s="96">
        <v>37611.0</v>
      </c>
      <c r="V249" s="97" t="s">
        <v>1826</v>
      </c>
      <c r="W249" s="97" t="s">
        <v>1827</v>
      </c>
      <c r="X249" s="79" t="s">
        <v>1828</v>
      </c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  <c r="AQ249" s="88"/>
      <c r="AR249" s="88"/>
    </row>
    <row r="250" ht="19.5" customHeight="1">
      <c r="A250" s="79">
        <v>239.0</v>
      </c>
      <c r="B250" s="91" t="s">
        <v>31</v>
      </c>
      <c r="C250" s="91" t="s">
        <v>1820</v>
      </c>
      <c r="D250" s="91" t="s">
        <v>1829</v>
      </c>
      <c r="E250" s="92" t="s">
        <v>1830</v>
      </c>
      <c r="F250" s="91" t="s">
        <v>81</v>
      </c>
      <c r="G250" s="80" t="s">
        <v>44</v>
      </c>
      <c r="H250" s="80" t="s">
        <v>21</v>
      </c>
      <c r="I250" s="91" t="s">
        <v>1823</v>
      </c>
      <c r="J250" s="80" t="s">
        <v>45</v>
      </c>
      <c r="K250" s="91" t="s">
        <v>1824</v>
      </c>
      <c r="L250" s="82" t="s">
        <v>1831</v>
      </c>
      <c r="M250" s="83">
        <f t="shared" si="1"/>
        <v>298</v>
      </c>
      <c r="N250" s="84">
        <v>298.0</v>
      </c>
      <c r="O250" s="84">
        <v>0.0</v>
      </c>
      <c r="P250" s="84">
        <v>0.0</v>
      </c>
      <c r="Q250" s="94">
        <v>2007.7</v>
      </c>
      <c r="R250" s="94">
        <v>3482.9</v>
      </c>
      <c r="S250" s="95" t="s">
        <v>1832</v>
      </c>
      <c r="T250" s="94">
        <v>1.0</v>
      </c>
      <c r="U250" s="96">
        <v>45357.0</v>
      </c>
      <c r="V250" s="97" t="s">
        <v>1833</v>
      </c>
      <c r="W250" s="97"/>
      <c r="X250" s="79" t="s">
        <v>1828</v>
      </c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  <c r="AQ250" s="88"/>
      <c r="AR250" s="88"/>
    </row>
    <row r="251" ht="19.5" customHeight="1">
      <c r="A251" s="79">
        <v>240.0</v>
      </c>
      <c r="B251" s="91" t="s">
        <v>31</v>
      </c>
      <c r="C251" s="91" t="s">
        <v>1834</v>
      </c>
      <c r="D251" s="91" t="s">
        <v>1835</v>
      </c>
      <c r="E251" s="92" t="s">
        <v>1836</v>
      </c>
      <c r="F251" s="91" t="s">
        <v>81</v>
      </c>
      <c r="G251" s="80" t="s">
        <v>44</v>
      </c>
      <c r="H251" s="80" t="s">
        <v>21</v>
      </c>
      <c r="I251" s="91" t="s">
        <v>1837</v>
      </c>
      <c r="J251" s="80" t="s">
        <v>45</v>
      </c>
      <c r="K251" s="95" t="s">
        <v>1838</v>
      </c>
      <c r="L251" s="82" t="s">
        <v>1839</v>
      </c>
      <c r="M251" s="83">
        <f t="shared" si="1"/>
        <v>110</v>
      </c>
      <c r="N251" s="84">
        <v>110.0</v>
      </c>
      <c r="O251" s="84"/>
      <c r="P251" s="84"/>
      <c r="Q251" s="94">
        <v>728.0</v>
      </c>
      <c r="R251" s="94">
        <v>882.12</v>
      </c>
      <c r="S251" s="95" t="s">
        <v>350</v>
      </c>
      <c r="T251" s="94">
        <v>1.0</v>
      </c>
      <c r="U251" s="96">
        <v>38020.0</v>
      </c>
      <c r="V251" s="97" t="s">
        <v>1840</v>
      </c>
      <c r="W251" s="97" t="s">
        <v>1841</v>
      </c>
      <c r="X251" s="79" t="s">
        <v>1842</v>
      </c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  <c r="AQ251" s="88"/>
      <c r="AR251" s="88"/>
    </row>
    <row r="252" ht="19.5" customHeight="1">
      <c r="A252" s="79">
        <v>241.0</v>
      </c>
      <c r="B252" s="91" t="s">
        <v>31</v>
      </c>
      <c r="C252" s="95" t="s">
        <v>1834</v>
      </c>
      <c r="D252" s="95" t="s">
        <v>1843</v>
      </c>
      <c r="E252" s="100" t="s">
        <v>1844</v>
      </c>
      <c r="F252" s="95" t="s">
        <v>81</v>
      </c>
      <c r="G252" s="80" t="s">
        <v>44</v>
      </c>
      <c r="H252" s="80" t="s">
        <v>21</v>
      </c>
      <c r="I252" s="95" t="s">
        <v>1837</v>
      </c>
      <c r="J252" s="80" t="s">
        <v>45</v>
      </c>
      <c r="K252" s="95" t="s">
        <v>1838</v>
      </c>
      <c r="L252" s="82" t="s">
        <v>1845</v>
      </c>
      <c r="M252" s="83">
        <f t="shared" si="1"/>
        <v>80</v>
      </c>
      <c r="N252" s="84">
        <v>80.0</v>
      </c>
      <c r="O252" s="84">
        <v>0.0</v>
      </c>
      <c r="P252" s="84">
        <v>0.0</v>
      </c>
      <c r="Q252" s="94">
        <v>661.7</v>
      </c>
      <c r="R252" s="94">
        <v>359.0</v>
      </c>
      <c r="S252" s="95" t="s">
        <v>1846</v>
      </c>
      <c r="T252" s="94">
        <v>1.0</v>
      </c>
      <c r="U252" s="96">
        <v>38020.0</v>
      </c>
      <c r="V252" s="97" t="s">
        <v>1847</v>
      </c>
      <c r="W252" s="97" t="s">
        <v>1848</v>
      </c>
      <c r="X252" s="79" t="s">
        <v>1849</v>
      </c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  <c r="AQ252" s="88"/>
      <c r="AR252" s="88"/>
    </row>
    <row r="253" ht="19.5" customHeight="1">
      <c r="A253" s="79">
        <v>242.0</v>
      </c>
      <c r="B253" s="91" t="s">
        <v>31</v>
      </c>
      <c r="C253" s="91" t="s">
        <v>1834</v>
      </c>
      <c r="D253" s="91" t="s">
        <v>1850</v>
      </c>
      <c r="E253" s="92" t="s">
        <v>1851</v>
      </c>
      <c r="F253" s="91" t="s">
        <v>81</v>
      </c>
      <c r="G253" s="80" t="s">
        <v>42</v>
      </c>
      <c r="H253" s="80" t="s">
        <v>21</v>
      </c>
      <c r="I253" s="91" t="s">
        <v>1837</v>
      </c>
      <c r="J253" s="80" t="s">
        <v>45</v>
      </c>
      <c r="K253" s="95" t="s">
        <v>1838</v>
      </c>
      <c r="L253" s="82" t="s">
        <v>1852</v>
      </c>
      <c r="M253" s="83">
        <f t="shared" si="1"/>
        <v>1000</v>
      </c>
      <c r="N253" s="84">
        <v>1000.0</v>
      </c>
      <c r="O253" s="84"/>
      <c r="P253" s="84"/>
      <c r="Q253" s="94">
        <v>2598.0</v>
      </c>
      <c r="R253" s="94">
        <v>7253.0</v>
      </c>
      <c r="S253" s="95" t="s">
        <v>1853</v>
      </c>
      <c r="T253" s="94">
        <v>1.0</v>
      </c>
      <c r="U253" s="96">
        <v>38138.0</v>
      </c>
      <c r="V253" s="97" t="s">
        <v>1854</v>
      </c>
      <c r="W253" s="97" t="s">
        <v>1855</v>
      </c>
      <c r="X253" s="79" t="s">
        <v>1856</v>
      </c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  <c r="AQ253" s="88"/>
      <c r="AR253" s="88"/>
    </row>
    <row r="254" ht="19.5" customHeight="1">
      <c r="A254" s="79">
        <v>243.0</v>
      </c>
      <c r="B254" s="91" t="s">
        <v>31</v>
      </c>
      <c r="C254" s="91" t="s">
        <v>1857</v>
      </c>
      <c r="D254" s="91" t="s">
        <v>1858</v>
      </c>
      <c r="E254" s="92" t="s">
        <v>1859</v>
      </c>
      <c r="F254" s="91" t="s">
        <v>22</v>
      </c>
      <c r="G254" s="80" t="s">
        <v>46</v>
      </c>
      <c r="H254" s="80" t="s">
        <v>22</v>
      </c>
      <c r="I254" s="91" t="s">
        <v>1860</v>
      </c>
      <c r="J254" s="80" t="s">
        <v>43</v>
      </c>
      <c r="K254" s="91" t="s">
        <v>1861</v>
      </c>
      <c r="L254" s="82" t="s">
        <v>1862</v>
      </c>
      <c r="M254" s="83">
        <f t="shared" si="1"/>
        <v>480</v>
      </c>
      <c r="N254" s="84">
        <v>0.0</v>
      </c>
      <c r="O254" s="84">
        <v>480.0</v>
      </c>
      <c r="P254" s="84">
        <v>0.0</v>
      </c>
      <c r="Q254" s="94">
        <v>10574.0</v>
      </c>
      <c r="R254" s="94">
        <v>3839.0</v>
      </c>
      <c r="S254" s="95" t="s">
        <v>103</v>
      </c>
      <c r="T254" s="94">
        <v>11.0</v>
      </c>
      <c r="U254" s="96">
        <v>37358.0</v>
      </c>
      <c r="V254" s="97" t="s">
        <v>1863</v>
      </c>
      <c r="W254" s="97" t="s">
        <v>1864</v>
      </c>
      <c r="X254" s="79" t="s">
        <v>1865</v>
      </c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  <c r="AQ254" s="88"/>
      <c r="AR254" s="88"/>
    </row>
    <row r="255" ht="19.5" customHeight="1">
      <c r="A255" s="79">
        <v>244.0</v>
      </c>
      <c r="B255" s="91" t="s">
        <v>31</v>
      </c>
      <c r="C255" s="91" t="s">
        <v>1857</v>
      </c>
      <c r="D255" s="91" t="s">
        <v>1866</v>
      </c>
      <c r="E255" s="92" t="s">
        <v>1867</v>
      </c>
      <c r="F255" s="91" t="s">
        <v>81</v>
      </c>
      <c r="G255" s="80" t="s">
        <v>42</v>
      </c>
      <c r="H255" s="80" t="s">
        <v>21</v>
      </c>
      <c r="I255" s="91" t="s">
        <v>1868</v>
      </c>
      <c r="J255" s="80" t="s">
        <v>45</v>
      </c>
      <c r="K255" s="91" t="s">
        <v>1869</v>
      </c>
      <c r="L255" s="82" t="s">
        <v>1870</v>
      </c>
      <c r="M255" s="83">
        <f t="shared" si="1"/>
        <v>214</v>
      </c>
      <c r="N255" s="84">
        <v>214.0</v>
      </c>
      <c r="O255" s="84">
        <v>0.0</v>
      </c>
      <c r="P255" s="84">
        <v>0.0</v>
      </c>
      <c r="Q255" s="94">
        <v>1655.0</v>
      </c>
      <c r="R255" s="94">
        <v>4126.0</v>
      </c>
      <c r="S255" s="95" t="s">
        <v>103</v>
      </c>
      <c r="T255" s="94">
        <v>1.0</v>
      </c>
      <c r="U255" s="96">
        <v>40567.0</v>
      </c>
      <c r="V255" s="97" t="s">
        <v>1871</v>
      </c>
      <c r="W255" s="97" t="s">
        <v>1872</v>
      </c>
      <c r="X255" s="79" t="s">
        <v>1873</v>
      </c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  <c r="AQ255" s="88"/>
      <c r="AR255" s="88"/>
    </row>
    <row r="256" ht="19.5" customHeight="1">
      <c r="A256" s="79">
        <v>245.0</v>
      </c>
      <c r="B256" s="91" t="s">
        <v>31</v>
      </c>
      <c r="C256" s="91" t="s">
        <v>1857</v>
      </c>
      <c r="D256" s="91" t="s">
        <v>1874</v>
      </c>
      <c r="E256" s="92" t="s">
        <v>1875</v>
      </c>
      <c r="F256" s="91" t="s">
        <v>81</v>
      </c>
      <c r="G256" s="80" t="s">
        <v>44</v>
      </c>
      <c r="H256" s="80" t="s">
        <v>21</v>
      </c>
      <c r="I256" s="91" t="s">
        <v>1868</v>
      </c>
      <c r="J256" s="80" t="s">
        <v>45</v>
      </c>
      <c r="K256" s="91" t="s">
        <v>1869</v>
      </c>
      <c r="L256" s="82" t="s">
        <v>1876</v>
      </c>
      <c r="M256" s="83">
        <f t="shared" si="1"/>
        <v>100</v>
      </c>
      <c r="N256" s="84">
        <v>100.0</v>
      </c>
      <c r="O256" s="84">
        <v>0.0</v>
      </c>
      <c r="P256" s="84">
        <v>0.0</v>
      </c>
      <c r="Q256" s="94">
        <v>861.0</v>
      </c>
      <c r="R256" s="94">
        <v>847.0</v>
      </c>
      <c r="S256" s="95" t="s">
        <v>1877</v>
      </c>
      <c r="T256" s="94">
        <v>1.0</v>
      </c>
      <c r="U256" s="96">
        <v>38496.0</v>
      </c>
      <c r="V256" s="97" t="s">
        <v>1878</v>
      </c>
      <c r="W256" s="97" t="s">
        <v>1879</v>
      </c>
      <c r="X256" s="79" t="s">
        <v>1880</v>
      </c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  <c r="AQ256" s="88"/>
      <c r="AR256" s="88"/>
    </row>
    <row r="257" ht="19.5" customHeight="1">
      <c r="A257" s="79">
        <v>246.0</v>
      </c>
      <c r="B257" s="91" t="s">
        <v>31</v>
      </c>
      <c r="C257" s="91" t="s">
        <v>1857</v>
      </c>
      <c r="D257" s="91" t="s">
        <v>1881</v>
      </c>
      <c r="E257" s="92" t="s">
        <v>1882</v>
      </c>
      <c r="F257" s="91" t="s">
        <v>81</v>
      </c>
      <c r="G257" s="80" t="s">
        <v>44</v>
      </c>
      <c r="H257" s="80" t="s">
        <v>21</v>
      </c>
      <c r="I257" s="91" t="s">
        <v>1868</v>
      </c>
      <c r="J257" s="80" t="s">
        <v>45</v>
      </c>
      <c r="K257" s="91" t="s">
        <v>1869</v>
      </c>
      <c r="L257" s="82" t="s">
        <v>1883</v>
      </c>
      <c r="M257" s="83">
        <f t="shared" si="1"/>
        <v>125</v>
      </c>
      <c r="N257" s="84">
        <v>125.0</v>
      </c>
      <c r="O257" s="84">
        <v>0.0</v>
      </c>
      <c r="P257" s="84">
        <v>0.0</v>
      </c>
      <c r="Q257" s="94">
        <v>3306.0</v>
      </c>
      <c r="R257" s="94">
        <v>647.17</v>
      </c>
      <c r="S257" s="95" t="s">
        <v>1884</v>
      </c>
      <c r="T257" s="94">
        <v>1.0</v>
      </c>
      <c r="U257" s="96">
        <v>37481.0</v>
      </c>
      <c r="V257" s="97" t="s">
        <v>1885</v>
      </c>
      <c r="W257" s="97" t="s">
        <v>1886</v>
      </c>
      <c r="X257" s="79" t="s">
        <v>1887</v>
      </c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  <c r="AQ257" s="88"/>
      <c r="AR257" s="88"/>
    </row>
    <row r="258" ht="19.5" customHeight="1">
      <c r="A258" s="79">
        <v>247.0</v>
      </c>
      <c r="B258" s="91" t="s">
        <v>31</v>
      </c>
      <c r="C258" s="91" t="s">
        <v>1857</v>
      </c>
      <c r="D258" s="91" t="s">
        <v>1888</v>
      </c>
      <c r="E258" s="92" t="s">
        <v>1889</v>
      </c>
      <c r="F258" s="91" t="s">
        <v>81</v>
      </c>
      <c r="G258" s="80" t="s">
        <v>44</v>
      </c>
      <c r="H258" s="80" t="s">
        <v>21</v>
      </c>
      <c r="I258" s="91" t="s">
        <v>1868</v>
      </c>
      <c r="J258" s="80" t="s">
        <v>45</v>
      </c>
      <c r="K258" s="91" t="s">
        <v>1869</v>
      </c>
      <c r="L258" s="82" t="s">
        <v>1890</v>
      </c>
      <c r="M258" s="83">
        <f t="shared" si="1"/>
        <v>104</v>
      </c>
      <c r="N258" s="84">
        <v>104.0</v>
      </c>
      <c r="O258" s="84">
        <v>0.0</v>
      </c>
      <c r="P258" s="84">
        <v>0.0</v>
      </c>
      <c r="Q258" s="94">
        <v>6500.0</v>
      </c>
      <c r="R258" s="94">
        <v>228.0</v>
      </c>
      <c r="S258" s="95" t="s">
        <v>1891</v>
      </c>
      <c r="T258" s="94">
        <v>1.0</v>
      </c>
      <c r="U258" s="96">
        <v>41388.0</v>
      </c>
      <c r="V258" s="97" t="s">
        <v>1892</v>
      </c>
      <c r="W258" s="97" t="s">
        <v>1893</v>
      </c>
      <c r="X258" s="79" t="s">
        <v>1894</v>
      </c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  <c r="AQ258" s="88"/>
      <c r="AR258" s="88"/>
    </row>
    <row r="259" ht="19.5" customHeight="1">
      <c r="A259" s="79">
        <v>248.0</v>
      </c>
      <c r="B259" s="91" t="s">
        <v>31</v>
      </c>
      <c r="C259" s="91" t="s">
        <v>1857</v>
      </c>
      <c r="D259" s="91" t="s">
        <v>1895</v>
      </c>
      <c r="E259" s="92" t="s">
        <v>1896</v>
      </c>
      <c r="F259" s="91" t="s">
        <v>81</v>
      </c>
      <c r="G259" s="80" t="s">
        <v>44</v>
      </c>
      <c r="H259" s="80" t="s">
        <v>21</v>
      </c>
      <c r="I259" s="91" t="s">
        <v>1868</v>
      </c>
      <c r="J259" s="80" t="s">
        <v>45</v>
      </c>
      <c r="K259" s="91" t="s">
        <v>1869</v>
      </c>
      <c r="L259" s="82" t="s">
        <v>1897</v>
      </c>
      <c r="M259" s="83">
        <f t="shared" si="1"/>
        <v>100</v>
      </c>
      <c r="N259" s="84">
        <v>100.0</v>
      </c>
      <c r="O259" s="84">
        <v>0.0</v>
      </c>
      <c r="P259" s="84">
        <v>0.0</v>
      </c>
      <c r="Q259" s="94">
        <v>1456.0</v>
      </c>
      <c r="R259" s="94">
        <v>429.11</v>
      </c>
      <c r="S259" s="95" t="s">
        <v>1898</v>
      </c>
      <c r="T259" s="94">
        <v>1.0</v>
      </c>
      <c r="U259" s="96">
        <v>43726.0</v>
      </c>
      <c r="V259" s="97" t="s">
        <v>1899</v>
      </c>
      <c r="W259" s="97" t="s">
        <v>1900</v>
      </c>
      <c r="X259" s="79" t="s">
        <v>1901</v>
      </c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  <c r="AQ259" s="88"/>
      <c r="AR259" s="88"/>
    </row>
    <row r="260" ht="19.5" customHeight="1">
      <c r="A260" s="79">
        <v>249.0</v>
      </c>
      <c r="B260" s="91" t="s">
        <v>31</v>
      </c>
      <c r="C260" s="91" t="s">
        <v>1857</v>
      </c>
      <c r="D260" s="91" t="s">
        <v>1902</v>
      </c>
      <c r="E260" s="92" t="s">
        <v>1903</v>
      </c>
      <c r="F260" s="91" t="s">
        <v>81</v>
      </c>
      <c r="G260" s="80" t="s">
        <v>46</v>
      </c>
      <c r="H260" s="80" t="s">
        <v>21</v>
      </c>
      <c r="I260" s="91" t="s">
        <v>1868</v>
      </c>
      <c r="J260" s="80" t="s">
        <v>45</v>
      </c>
      <c r="K260" s="91" t="s">
        <v>1869</v>
      </c>
      <c r="L260" s="82" t="s">
        <v>1904</v>
      </c>
      <c r="M260" s="83">
        <f t="shared" si="1"/>
        <v>415</v>
      </c>
      <c r="N260" s="84"/>
      <c r="O260" s="84">
        <v>415.0</v>
      </c>
      <c r="P260" s="84"/>
      <c r="Q260" s="94">
        <v>17100.0</v>
      </c>
      <c r="R260" s="94">
        <v>5807.0</v>
      </c>
      <c r="S260" s="95" t="s">
        <v>380</v>
      </c>
      <c r="T260" s="94">
        <v>1.0</v>
      </c>
      <c r="U260" s="96">
        <v>36411.0</v>
      </c>
      <c r="V260" s="97" t="s">
        <v>1905</v>
      </c>
      <c r="W260" s="97" t="s">
        <v>1906</v>
      </c>
      <c r="X260" s="79" t="s">
        <v>1907</v>
      </c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  <c r="AQ260" s="88"/>
      <c r="AR260" s="88"/>
    </row>
    <row r="261" ht="19.5" customHeight="1">
      <c r="A261" s="79">
        <v>250.0</v>
      </c>
      <c r="B261" s="91" t="s">
        <v>31</v>
      </c>
      <c r="C261" s="91" t="s">
        <v>1857</v>
      </c>
      <c r="D261" s="91" t="s">
        <v>1908</v>
      </c>
      <c r="E261" s="92" t="s">
        <v>1909</v>
      </c>
      <c r="F261" s="91" t="s">
        <v>81</v>
      </c>
      <c r="G261" s="80" t="s">
        <v>44</v>
      </c>
      <c r="H261" s="80" t="s">
        <v>21</v>
      </c>
      <c r="I261" s="91" t="s">
        <v>1868</v>
      </c>
      <c r="J261" s="80" t="s">
        <v>45</v>
      </c>
      <c r="K261" s="91" t="s">
        <v>1869</v>
      </c>
      <c r="L261" s="82" t="s">
        <v>1910</v>
      </c>
      <c r="M261" s="83">
        <f t="shared" si="1"/>
        <v>198</v>
      </c>
      <c r="N261" s="84">
        <v>198.0</v>
      </c>
      <c r="O261" s="84">
        <v>0.0</v>
      </c>
      <c r="P261" s="84">
        <v>0.0</v>
      </c>
      <c r="Q261" s="94">
        <v>813.7</v>
      </c>
      <c r="R261" s="94">
        <v>1955.0</v>
      </c>
      <c r="S261" s="95" t="s">
        <v>320</v>
      </c>
      <c r="T261" s="94">
        <v>1.0</v>
      </c>
      <c r="U261" s="96">
        <v>46760.0</v>
      </c>
      <c r="V261" s="97" t="s">
        <v>1911</v>
      </c>
      <c r="W261" s="97" t="s">
        <v>1912</v>
      </c>
      <c r="X261" s="79" t="s">
        <v>1913</v>
      </c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  <c r="AQ261" s="88"/>
      <c r="AR261" s="88"/>
    </row>
    <row r="262" ht="19.5" customHeight="1">
      <c r="A262" s="79">
        <v>251.0</v>
      </c>
      <c r="B262" s="91" t="s">
        <v>31</v>
      </c>
      <c r="C262" s="91" t="s">
        <v>1914</v>
      </c>
      <c r="D262" s="91" t="s">
        <v>1915</v>
      </c>
      <c r="E262" s="92" t="s">
        <v>1916</v>
      </c>
      <c r="F262" s="91" t="s">
        <v>22</v>
      </c>
      <c r="G262" s="80" t="s">
        <v>46</v>
      </c>
      <c r="H262" s="80" t="s">
        <v>22</v>
      </c>
      <c r="I262" s="91" t="s">
        <v>1917</v>
      </c>
      <c r="J262" s="80" t="s">
        <v>43</v>
      </c>
      <c r="K262" s="91"/>
      <c r="L262" s="82" t="s">
        <v>1918</v>
      </c>
      <c r="M262" s="83">
        <f t="shared" si="1"/>
        <v>815</v>
      </c>
      <c r="N262" s="84"/>
      <c r="O262" s="84">
        <v>595.0</v>
      </c>
      <c r="P262" s="84">
        <v>220.0</v>
      </c>
      <c r="Q262" s="94">
        <v>119308.0</v>
      </c>
      <c r="R262" s="94">
        <v>4225.0</v>
      </c>
      <c r="S262" s="95" t="s">
        <v>314</v>
      </c>
      <c r="T262" s="94">
        <v>14.0</v>
      </c>
      <c r="U262" s="96">
        <v>34149.0</v>
      </c>
      <c r="V262" s="97" t="s">
        <v>1919</v>
      </c>
      <c r="W262" s="97"/>
      <c r="X262" s="79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  <c r="AQ262" s="88"/>
      <c r="AR262" s="88"/>
    </row>
    <row r="263" ht="19.5" customHeight="1">
      <c r="A263" s="79">
        <v>252.0</v>
      </c>
      <c r="B263" s="91" t="s">
        <v>31</v>
      </c>
      <c r="C263" s="91" t="s">
        <v>1914</v>
      </c>
      <c r="D263" s="91" t="s">
        <v>1920</v>
      </c>
      <c r="E263" s="92" t="s">
        <v>1921</v>
      </c>
      <c r="F263" s="91" t="s">
        <v>81</v>
      </c>
      <c r="G263" s="80" t="s">
        <v>42</v>
      </c>
      <c r="H263" s="80" t="s">
        <v>21</v>
      </c>
      <c r="I263" s="91" t="s">
        <v>1922</v>
      </c>
      <c r="J263" s="80" t="s">
        <v>47</v>
      </c>
      <c r="K263" s="91" t="s">
        <v>1923</v>
      </c>
      <c r="L263" s="82" t="s">
        <v>1924</v>
      </c>
      <c r="M263" s="83">
        <f t="shared" si="1"/>
        <v>1240</v>
      </c>
      <c r="N263" s="84">
        <v>1240.0</v>
      </c>
      <c r="O263" s="84"/>
      <c r="P263" s="84"/>
      <c r="Q263" s="94">
        <v>9361.0</v>
      </c>
      <c r="R263" s="94">
        <v>9397.0</v>
      </c>
      <c r="S263" s="95" t="s">
        <v>103</v>
      </c>
      <c r="T263" s="94">
        <v>1.0</v>
      </c>
      <c r="U263" s="96">
        <v>40247.0</v>
      </c>
      <c r="V263" s="97" t="s">
        <v>1925</v>
      </c>
      <c r="W263" s="97" t="s">
        <v>1926</v>
      </c>
      <c r="X263" s="79" t="s">
        <v>1927</v>
      </c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  <c r="AQ263" s="88"/>
      <c r="AR263" s="88"/>
    </row>
    <row r="264" ht="19.5" customHeight="1">
      <c r="A264" s="79">
        <v>253.0</v>
      </c>
      <c r="B264" s="91" t="s">
        <v>31</v>
      </c>
      <c r="C264" s="91" t="s">
        <v>1914</v>
      </c>
      <c r="D264" s="91" t="s">
        <v>1928</v>
      </c>
      <c r="E264" s="92" t="s">
        <v>1929</v>
      </c>
      <c r="F264" s="91" t="s">
        <v>22</v>
      </c>
      <c r="G264" s="80" t="s">
        <v>46</v>
      </c>
      <c r="H264" s="80" t="s">
        <v>22</v>
      </c>
      <c r="I264" s="91" t="s">
        <v>1930</v>
      </c>
      <c r="J264" s="80" t="s">
        <v>43</v>
      </c>
      <c r="K264" s="91" t="s">
        <v>1929</v>
      </c>
      <c r="L264" s="82" t="s">
        <v>1931</v>
      </c>
      <c r="M264" s="83">
        <f t="shared" si="1"/>
        <v>380</v>
      </c>
      <c r="N264" s="84"/>
      <c r="O264" s="84">
        <v>380.0</v>
      </c>
      <c r="P264" s="84"/>
      <c r="Q264" s="94">
        <v>24719.0</v>
      </c>
      <c r="R264" s="94">
        <v>9623.4</v>
      </c>
      <c r="S264" s="95" t="s">
        <v>373</v>
      </c>
      <c r="T264" s="94">
        <v>1.0</v>
      </c>
      <c r="U264" s="96">
        <v>38796.0</v>
      </c>
      <c r="V264" s="97" t="s">
        <v>1932</v>
      </c>
      <c r="W264" s="97" t="s">
        <v>1933</v>
      </c>
      <c r="X264" s="79" t="s">
        <v>1934</v>
      </c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  <c r="AQ264" s="88"/>
      <c r="AR264" s="88"/>
    </row>
    <row r="265" ht="19.5" customHeight="1">
      <c r="A265" s="79">
        <v>254.0</v>
      </c>
      <c r="B265" s="91" t="s">
        <v>31</v>
      </c>
      <c r="C265" s="91" t="s">
        <v>1914</v>
      </c>
      <c r="D265" s="91" t="s">
        <v>1935</v>
      </c>
      <c r="E265" s="92" t="s">
        <v>1936</v>
      </c>
      <c r="F265" s="91" t="s">
        <v>22</v>
      </c>
      <c r="G265" s="80" t="s">
        <v>46</v>
      </c>
      <c r="H265" s="80" t="s">
        <v>22</v>
      </c>
      <c r="I265" s="91" t="s">
        <v>1937</v>
      </c>
      <c r="J265" s="80" t="s">
        <v>43</v>
      </c>
      <c r="K265" s="91" t="s">
        <v>1936</v>
      </c>
      <c r="L265" s="82" t="s">
        <v>1938</v>
      </c>
      <c r="M265" s="83">
        <f t="shared" si="1"/>
        <v>146</v>
      </c>
      <c r="N265" s="84">
        <v>0.0</v>
      </c>
      <c r="O265" s="84">
        <v>146.0</v>
      </c>
      <c r="P265" s="84"/>
      <c r="Q265" s="94">
        <v>49133.0</v>
      </c>
      <c r="R265" s="94">
        <v>4733.0</v>
      </c>
      <c r="S265" s="95" t="s">
        <v>194</v>
      </c>
      <c r="T265" s="94">
        <v>1.0</v>
      </c>
      <c r="U265" s="96">
        <v>39974.0</v>
      </c>
      <c r="V265" s="97" t="s">
        <v>1939</v>
      </c>
      <c r="W265" s="97" t="s">
        <v>1940</v>
      </c>
      <c r="X265" s="79" t="s">
        <v>1941</v>
      </c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  <c r="AQ265" s="88"/>
      <c r="AR265" s="88"/>
    </row>
    <row r="266" ht="19.5" customHeight="1">
      <c r="A266" s="79">
        <v>255.0</v>
      </c>
      <c r="B266" s="91" t="s">
        <v>31</v>
      </c>
      <c r="C266" s="91" t="s">
        <v>1914</v>
      </c>
      <c r="D266" s="91" t="s">
        <v>1942</v>
      </c>
      <c r="E266" s="92" t="s">
        <v>1943</v>
      </c>
      <c r="F266" s="91" t="s">
        <v>81</v>
      </c>
      <c r="G266" s="80" t="s">
        <v>44</v>
      </c>
      <c r="H266" s="80" t="s">
        <v>21</v>
      </c>
      <c r="I266" s="91" t="s">
        <v>1922</v>
      </c>
      <c r="J266" s="80" t="s">
        <v>47</v>
      </c>
      <c r="K266" s="91" t="s">
        <v>1923</v>
      </c>
      <c r="L266" s="93" t="s">
        <v>1944</v>
      </c>
      <c r="M266" s="83">
        <f t="shared" si="1"/>
        <v>300</v>
      </c>
      <c r="N266" s="84">
        <v>300.0</v>
      </c>
      <c r="O266" s="84"/>
      <c r="P266" s="84"/>
      <c r="Q266" s="94">
        <v>1428.0</v>
      </c>
      <c r="R266" s="94">
        <v>3122.0</v>
      </c>
      <c r="S266" s="95" t="s">
        <v>194</v>
      </c>
      <c r="T266" s="94">
        <v>1.0</v>
      </c>
      <c r="U266" s="96">
        <v>44741.0</v>
      </c>
      <c r="V266" s="97" t="s">
        <v>1945</v>
      </c>
      <c r="W266" s="97" t="s">
        <v>1946</v>
      </c>
      <c r="X266" s="79" t="s">
        <v>1947</v>
      </c>
      <c r="Y266" s="98"/>
      <c r="Z266" s="98"/>
      <c r="AA266" s="98"/>
      <c r="AB266" s="98"/>
      <c r="AC266" s="98"/>
      <c r="AD266" s="98"/>
      <c r="AE266" s="98"/>
      <c r="AF266" s="98"/>
      <c r="AG266" s="98"/>
      <c r="AH266" s="98"/>
      <c r="AI266" s="98"/>
      <c r="AJ266" s="98"/>
      <c r="AK266" s="98"/>
      <c r="AL266" s="98"/>
      <c r="AM266" s="98"/>
      <c r="AN266" s="98"/>
      <c r="AO266" s="98"/>
      <c r="AP266" s="98"/>
      <c r="AQ266" s="98"/>
      <c r="AR266" s="98"/>
    </row>
    <row r="267" ht="19.5" customHeight="1">
      <c r="A267" s="79">
        <v>256.0</v>
      </c>
      <c r="B267" s="91" t="s">
        <v>31</v>
      </c>
      <c r="C267" s="91" t="s">
        <v>1914</v>
      </c>
      <c r="D267" s="91" t="s">
        <v>1948</v>
      </c>
      <c r="E267" s="92" t="s">
        <v>1949</v>
      </c>
      <c r="F267" s="91" t="s">
        <v>81</v>
      </c>
      <c r="G267" s="80" t="s">
        <v>12</v>
      </c>
      <c r="H267" s="80" t="s">
        <v>21</v>
      </c>
      <c r="I267" s="91" t="s">
        <v>1922</v>
      </c>
      <c r="J267" s="80" t="s">
        <v>47</v>
      </c>
      <c r="K267" s="91" t="s">
        <v>1923</v>
      </c>
      <c r="L267" s="93" t="s">
        <v>1950</v>
      </c>
      <c r="M267" s="83">
        <f t="shared" si="1"/>
        <v>67</v>
      </c>
      <c r="N267" s="84">
        <v>0.0</v>
      </c>
      <c r="O267" s="84">
        <v>67.0</v>
      </c>
      <c r="P267" s="84">
        <v>0.0</v>
      </c>
      <c r="Q267" s="94">
        <v>34680.0</v>
      </c>
      <c r="R267" s="94">
        <v>4250.0</v>
      </c>
      <c r="S267" s="95" t="s">
        <v>103</v>
      </c>
      <c r="T267" s="94">
        <v>1.0</v>
      </c>
      <c r="U267" s="96">
        <v>44806.0</v>
      </c>
      <c r="V267" s="97" t="s">
        <v>1951</v>
      </c>
      <c r="W267" s="97" t="s">
        <v>1952</v>
      </c>
      <c r="X267" s="79" t="s">
        <v>1953</v>
      </c>
      <c r="Y267" s="98"/>
      <c r="Z267" s="98"/>
      <c r="AA267" s="98"/>
      <c r="AB267" s="98"/>
      <c r="AC267" s="98"/>
      <c r="AD267" s="98"/>
      <c r="AE267" s="98"/>
      <c r="AF267" s="98"/>
      <c r="AG267" s="98"/>
      <c r="AH267" s="98"/>
      <c r="AI267" s="98"/>
      <c r="AJ267" s="98"/>
      <c r="AK267" s="98"/>
      <c r="AL267" s="98"/>
      <c r="AM267" s="98"/>
      <c r="AN267" s="98"/>
      <c r="AO267" s="98"/>
      <c r="AP267" s="98"/>
      <c r="AQ267" s="98"/>
      <c r="AR267" s="98"/>
    </row>
    <row r="268" ht="19.5" customHeight="1">
      <c r="A268" s="79">
        <v>257.0</v>
      </c>
      <c r="B268" s="91" t="s">
        <v>31</v>
      </c>
      <c r="C268" s="91" t="s">
        <v>1954</v>
      </c>
      <c r="D268" s="91" t="s">
        <v>1955</v>
      </c>
      <c r="E268" s="92" t="s">
        <v>1956</v>
      </c>
      <c r="F268" s="91" t="s">
        <v>81</v>
      </c>
      <c r="G268" s="80" t="s">
        <v>42</v>
      </c>
      <c r="H268" s="80" t="s">
        <v>21</v>
      </c>
      <c r="I268" s="91" t="s">
        <v>1957</v>
      </c>
      <c r="J268" s="80" t="s">
        <v>43</v>
      </c>
      <c r="K268" s="91" t="s">
        <v>1957</v>
      </c>
      <c r="L268" s="82" t="s">
        <v>1958</v>
      </c>
      <c r="M268" s="83">
        <f t="shared" si="1"/>
        <v>500</v>
      </c>
      <c r="N268" s="84">
        <v>500.0</v>
      </c>
      <c r="O268" s="84">
        <v>0.0</v>
      </c>
      <c r="P268" s="84">
        <v>0.0</v>
      </c>
      <c r="Q268" s="94">
        <v>1338.0</v>
      </c>
      <c r="R268" s="94">
        <v>3651.0</v>
      </c>
      <c r="S268" s="95" t="s">
        <v>380</v>
      </c>
      <c r="T268" s="94">
        <v>1.0</v>
      </c>
      <c r="U268" s="96">
        <v>42801.0</v>
      </c>
      <c r="V268" s="97" t="s">
        <v>1959</v>
      </c>
      <c r="W268" s="97" t="s">
        <v>1960</v>
      </c>
      <c r="X268" s="79" t="s">
        <v>1961</v>
      </c>
      <c r="Y268" s="98"/>
      <c r="Z268" s="98"/>
      <c r="AA268" s="98"/>
      <c r="AB268" s="98"/>
      <c r="AC268" s="98"/>
      <c r="AD268" s="98"/>
      <c r="AE268" s="98"/>
      <c r="AF268" s="98"/>
      <c r="AG268" s="98"/>
      <c r="AH268" s="98"/>
      <c r="AI268" s="98"/>
      <c r="AJ268" s="98"/>
      <c r="AK268" s="98"/>
      <c r="AL268" s="98"/>
      <c r="AM268" s="98"/>
      <c r="AN268" s="98"/>
      <c r="AO268" s="98"/>
      <c r="AP268" s="98"/>
      <c r="AQ268" s="98"/>
      <c r="AR268" s="98"/>
    </row>
    <row r="269" ht="19.5" customHeight="1">
      <c r="A269" s="79">
        <v>258.0</v>
      </c>
      <c r="B269" s="91" t="s">
        <v>31</v>
      </c>
      <c r="C269" s="91" t="s">
        <v>1954</v>
      </c>
      <c r="D269" s="91" t="s">
        <v>1962</v>
      </c>
      <c r="E269" s="92" t="s">
        <v>1963</v>
      </c>
      <c r="F269" s="91" t="s">
        <v>81</v>
      </c>
      <c r="G269" s="80" t="s">
        <v>44</v>
      </c>
      <c r="H269" s="80" t="s">
        <v>21</v>
      </c>
      <c r="I269" s="91" t="s">
        <v>1957</v>
      </c>
      <c r="J269" s="80" t="s">
        <v>43</v>
      </c>
      <c r="K269" s="91" t="s">
        <v>1957</v>
      </c>
      <c r="L269" s="82" t="s">
        <v>1964</v>
      </c>
      <c r="M269" s="83">
        <f t="shared" si="1"/>
        <v>380</v>
      </c>
      <c r="N269" s="84">
        <v>380.0</v>
      </c>
      <c r="O269" s="84">
        <v>0.0</v>
      </c>
      <c r="P269" s="84">
        <v>0.0</v>
      </c>
      <c r="Q269" s="94">
        <v>917.0</v>
      </c>
      <c r="R269" s="94">
        <v>870.0</v>
      </c>
      <c r="S269" s="95" t="s">
        <v>350</v>
      </c>
      <c r="T269" s="94">
        <v>1.0</v>
      </c>
      <c r="U269" s="96">
        <v>34216.0</v>
      </c>
      <c r="V269" s="97" t="s">
        <v>1965</v>
      </c>
      <c r="W269" s="97" t="s">
        <v>1960</v>
      </c>
      <c r="X269" s="79">
        <v>0.0</v>
      </c>
      <c r="Y269" s="98"/>
      <c r="Z269" s="98"/>
      <c r="AA269" s="98"/>
      <c r="AB269" s="98"/>
      <c r="AC269" s="98"/>
      <c r="AD269" s="98"/>
      <c r="AE269" s="98"/>
      <c r="AF269" s="98"/>
      <c r="AG269" s="98"/>
      <c r="AH269" s="98"/>
      <c r="AI269" s="98"/>
      <c r="AJ269" s="98"/>
      <c r="AK269" s="98"/>
      <c r="AL269" s="98"/>
      <c r="AM269" s="98"/>
      <c r="AN269" s="98"/>
      <c r="AO269" s="98"/>
      <c r="AP269" s="98"/>
      <c r="AQ269" s="98"/>
      <c r="AR269" s="98"/>
    </row>
    <row r="270" ht="19.5" customHeight="1">
      <c r="A270" s="79">
        <v>259.0</v>
      </c>
      <c r="B270" s="91" t="s">
        <v>31</v>
      </c>
      <c r="C270" s="91" t="s">
        <v>1954</v>
      </c>
      <c r="D270" s="91" t="s">
        <v>1966</v>
      </c>
      <c r="E270" s="92" t="s">
        <v>1967</v>
      </c>
      <c r="F270" s="91" t="s">
        <v>22</v>
      </c>
      <c r="G270" s="80" t="s">
        <v>48</v>
      </c>
      <c r="H270" s="80" t="s">
        <v>22</v>
      </c>
      <c r="I270" s="91" t="s">
        <v>1968</v>
      </c>
      <c r="J270" s="80" t="s">
        <v>43</v>
      </c>
      <c r="K270" s="91" t="s">
        <v>1969</v>
      </c>
      <c r="L270" s="82" t="s">
        <v>1970</v>
      </c>
      <c r="M270" s="83">
        <f t="shared" si="1"/>
        <v>100</v>
      </c>
      <c r="N270" s="84">
        <v>0.0</v>
      </c>
      <c r="O270" s="84">
        <v>0.0</v>
      </c>
      <c r="P270" s="84">
        <v>100.0</v>
      </c>
      <c r="Q270" s="94">
        <v>6920.0</v>
      </c>
      <c r="R270" s="94">
        <v>261.99</v>
      </c>
      <c r="S270" s="95" t="s">
        <v>704</v>
      </c>
      <c r="T270" s="94">
        <v>2.0</v>
      </c>
      <c r="U270" s="96">
        <v>43539.0</v>
      </c>
      <c r="V270" s="97" t="s">
        <v>1971</v>
      </c>
      <c r="W270" s="97" t="s">
        <v>1972</v>
      </c>
      <c r="X270" s="79" t="s">
        <v>1973</v>
      </c>
      <c r="Y270" s="98"/>
      <c r="Z270" s="98"/>
      <c r="AA270" s="98"/>
      <c r="AB270" s="98"/>
      <c r="AC270" s="98"/>
      <c r="AD270" s="98"/>
      <c r="AE270" s="98"/>
      <c r="AF270" s="98"/>
      <c r="AG270" s="98"/>
      <c r="AH270" s="98"/>
      <c r="AI270" s="98"/>
      <c r="AJ270" s="98"/>
      <c r="AK270" s="98"/>
      <c r="AL270" s="98"/>
      <c r="AM270" s="98"/>
      <c r="AN270" s="98"/>
      <c r="AO270" s="98"/>
      <c r="AP270" s="98"/>
      <c r="AQ270" s="98"/>
      <c r="AR270" s="98"/>
    </row>
    <row r="271" ht="19.5" customHeight="1">
      <c r="A271" s="79">
        <v>260.0</v>
      </c>
      <c r="B271" s="91" t="s">
        <v>31</v>
      </c>
      <c r="C271" s="91" t="s">
        <v>1954</v>
      </c>
      <c r="D271" s="91" t="s">
        <v>1974</v>
      </c>
      <c r="E271" s="92" t="s">
        <v>1975</v>
      </c>
      <c r="F271" s="91" t="s">
        <v>81</v>
      </c>
      <c r="G271" s="80" t="s">
        <v>44</v>
      </c>
      <c r="H271" s="80" t="s">
        <v>21</v>
      </c>
      <c r="I271" s="91" t="s">
        <v>1957</v>
      </c>
      <c r="J271" s="80" t="s">
        <v>43</v>
      </c>
      <c r="K271" s="91" t="s">
        <v>1957</v>
      </c>
      <c r="L271" s="82" t="s">
        <v>1976</v>
      </c>
      <c r="M271" s="83">
        <f t="shared" si="1"/>
        <v>80</v>
      </c>
      <c r="N271" s="84">
        <v>80.0</v>
      </c>
      <c r="O271" s="84"/>
      <c r="P271" s="84"/>
      <c r="Q271" s="94">
        <v>3036.0</v>
      </c>
      <c r="R271" s="94">
        <v>409.0</v>
      </c>
      <c r="S271" s="95" t="s">
        <v>704</v>
      </c>
      <c r="T271" s="94">
        <v>1.0</v>
      </c>
      <c r="U271" s="96">
        <v>45624.0</v>
      </c>
      <c r="V271" s="97" t="s">
        <v>1977</v>
      </c>
      <c r="W271" s="97" t="s">
        <v>1960</v>
      </c>
      <c r="X271" s="79" t="s">
        <v>1978</v>
      </c>
      <c r="Y271" s="98"/>
      <c r="Z271" s="98"/>
      <c r="AA271" s="98"/>
      <c r="AB271" s="98"/>
      <c r="AC271" s="98"/>
      <c r="AD271" s="98"/>
      <c r="AE271" s="98"/>
      <c r="AF271" s="98"/>
      <c r="AG271" s="98"/>
      <c r="AH271" s="98"/>
      <c r="AI271" s="98"/>
      <c r="AJ271" s="98"/>
      <c r="AK271" s="98"/>
      <c r="AL271" s="98"/>
      <c r="AM271" s="98"/>
      <c r="AN271" s="98"/>
      <c r="AO271" s="98"/>
      <c r="AP271" s="98"/>
      <c r="AQ271" s="98"/>
      <c r="AR271" s="98"/>
    </row>
    <row r="272" ht="19.5" customHeight="1">
      <c r="A272" s="79">
        <v>261.0</v>
      </c>
      <c r="B272" s="91" t="s">
        <v>31</v>
      </c>
      <c r="C272" s="91" t="s">
        <v>1979</v>
      </c>
      <c r="D272" s="91" t="s">
        <v>1980</v>
      </c>
      <c r="E272" s="92" t="s">
        <v>1981</v>
      </c>
      <c r="F272" s="91" t="s">
        <v>81</v>
      </c>
      <c r="G272" s="80" t="s">
        <v>42</v>
      </c>
      <c r="H272" s="80" t="s">
        <v>21</v>
      </c>
      <c r="I272" s="91" t="s">
        <v>1982</v>
      </c>
      <c r="J272" s="80" t="s">
        <v>47</v>
      </c>
      <c r="K272" s="91" t="s">
        <v>1983</v>
      </c>
      <c r="L272" s="82" t="s">
        <v>1984</v>
      </c>
      <c r="M272" s="83">
        <f t="shared" si="1"/>
        <v>300</v>
      </c>
      <c r="N272" s="84">
        <v>300.0</v>
      </c>
      <c r="O272" s="84"/>
      <c r="P272" s="84"/>
      <c r="Q272" s="94" t="s">
        <v>40</v>
      </c>
      <c r="R272" s="94">
        <v>4079.22</v>
      </c>
      <c r="S272" s="95" t="s">
        <v>1985</v>
      </c>
      <c r="T272" s="94">
        <v>1.0</v>
      </c>
      <c r="U272" s="96">
        <v>39398.0</v>
      </c>
      <c r="V272" s="97" t="s">
        <v>1986</v>
      </c>
      <c r="W272" s="97" t="s">
        <v>1987</v>
      </c>
      <c r="X272" s="79" t="s">
        <v>1988</v>
      </c>
      <c r="Y272" s="98"/>
      <c r="Z272" s="98"/>
      <c r="AA272" s="98"/>
      <c r="AB272" s="98"/>
      <c r="AC272" s="98"/>
      <c r="AD272" s="98"/>
      <c r="AE272" s="98"/>
      <c r="AF272" s="98"/>
      <c r="AG272" s="98"/>
      <c r="AH272" s="98"/>
      <c r="AI272" s="98"/>
      <c r="AJ272" s="98"/>
      <c r="AK272" s="98"/>
      <c r="AL272" s="98"/>
      <c r="AM272" s="98"/>
      <c r="AN272" s="98"/>
      <c r="AO272" s="98"/>
      <c r="AP272" s="98"/>
      <c r="AQ272" s="98"/>
      <c r="AR272" s="98"/>
    </row>
    <row r="273" ht="19.5" customHeight="1">
      <c r="A273" s="79">
        <v>262.0</v>
      </c>
      <c r="B273" s="91" t="s">
        <v>31</v>
      </c>
      <c r="C273" s="91" t="s">
        <v>1979</v>
      </c>
      <c r="D273" s="91" t="s">
        <v>1989</v>
      </c>
      <c r="E273" s="92" t="s">
        <v>1990</v>
      </c>
      <c r="F273" s="91" t="s">
        <v>81</v>
      </c>
      <c r="G273" s="80" t="s">
        <v>42</v>
      </c>
      <c r="H273" s="80" t="s">
        <v>21</v>
      </c>
      <c r="I273" s="91" t="s">
        <v>1982</v>
      </c>
      <c r="J273" s="80" t="s">
        <v>47</v>
      </c>
      <c r="K273" s="91" t="s">
        <v>1983</v>
      </c>
      <c r="L273" s="82" t="s">
        <v>1991</v>
      </c>
      <c r="M273" s="83">
        <f t="shared" si="1"/>
        <v>300</v>
      </c>
      <c r="N273" s="84">
        <v>300.0</v>
      </c>
      <c r="O273" s="84">
        <v>0.0</v>
      </c>
      <c r="P273" s="84">
        <v>0.0</v>
      </c>
      <c r="Q273" s="94">
        <v>35024.0</v>
      </c>
      <c r="R273" s="94">
        <v>2626.0</v>
      </c>
      <c r="S273" s="95" t="s">
        <v>291</v>
      </c>
      <c r="T273" s="94">
        <v>1.0</v>
      </c>
      <c r="U273" s="96">
        <v>39024.0</v>
      </c>
      <c r="V273" s="97" t="s">
        <v>1992</v>
      </c>
      <c r="W273" s="97" t="s">
        <v>1993</v>
      </c>
      <c r="X273" s="79" t="s">
        <v>1994</v>
      </c>
      <c r="Y273" s="98"/>
      <c r="Z273" s="98"/>
      <c r="AA273" s="98"/>
      <c r="AB273" s="98"/>
      <c r="AC273" s="98"/>
      <c r="AD273" s="98"/>
      <c r="AE273" s="98"/>
      <c r="AF273" s="98"/>
      <c r="AG273" s="98"/>
      <c r="AH273" s="98"/>
      <c r="AI273" s="98"/>
      <c r="AJ273" s="98"/>
      <c r="AK273" s="98"/>
      <c r="AL273" s="98"/>
      <c r="AM273" s="98"/>
      <c r="AN273" s="98"/>
      <c r="AO273" s="98"/>
      <c r="AP273" s="98"/>
      <c r="AQ273" s="98"/>
      <c r="AR273" s="98"/>
    </row>
    <row r="274" ht="19.5" customHeight="1">
      <c r="A274" s="79">
        <v>263.0</v>
      </c>
      <c r="B274" s="91" t="s">
        <v>31</v>
      </c>
      <c r="C274" s="91" t="s">
        <v>1979</v>
      </c>
      <c r="D274" s="91" t="s">
        <v>1995</v>
      </c>
      <c r="E274" s="92" t="s">
        <v>1996</v>
      </c>
      <c r="F274" s="91" t="s">
        <v>81</v>
      </c>
      <c r="G274" s="80" t="s">
        <v>44</v>
      </c>
      <c r="H274" s="80" t="s">
        <v>21</v>
      </c>
      <c r="I274" s="91" t="s">
        <v>1982</v>
      </c>
      <c r="J274" s="80" t="s">
        <v>47</v>
      </c>
      <c r="K274" s="91" t="s">
        <v>1983</v>
      </c>
      <c r="L274" s="82" t="s">
        <v>1997</v>
      </c>
      <c r="M274" s="83">
        <f t="shared" si="1"/>
        <v>200</v>
      </c>
      <c r="N274" s="84">
        <v>200.0</v>
      </c>
      <c r="O274" s="84"/>
      <c r="P274" s="84"/>
      <c r="Q274" s="94">
        <v>1991.0</v>
      </c>
      <c r="R274" s="94">
        <v>2312.0</v>
      </c>
      <c r="S274" s="95" t="s">
        <v>1998</v>
      </c>
      <c r="T274" s="94">
        <v>1.0</v>
      </c>
      <c r="U274" s="96">
        <v>38798.0</v>
      </c>
      <c r="V274" s="97" t="s">
        <v>1999</v>
      </c>
      <c r="W274" s="97" t="s">
        <v>2000</v>
      </c>
      <c r="X274" s="79" t="s">
        <v>2001</v>
      </c>
      <c r="Y274" s="98"/>
      <c r="Z274" s="98"/>
      <c r="AA274" s="98"/>
      <c r="AB274" s="98"/>
      <c r="AC274" s="98"/>
      <c r="AD274" s="98"/>
      <c r="AE274" s="98"/>
      <c r="AF274" s="98"/>
      <c r="AG274" s="98"/>
      <c r="AH274" s="98"/>
      <c r="AI274" s="98"/>
      <c r="AJ274" s="98"/>
      <c r="AK274" s="98"/>
      <c r="AL274" s="98"/>
      <c r="AM274" s="98"/>
      <c r="AN274" s="98"/>
      <c r="AO274" s="98"/>
      <c r="AP274" s="98"/>
      <c r="AQ274" s="98"/>
      <c r="AR274" s="98"/>
    </row>
    <row r="275" ht="19.5" customHeight="1">
      <c r="A275" s="79">
        <v>264.0</v>
      </c>
      <c r="B275" s="91" t="s">
        <v>31</v>
      </c>
      <c r="C275" s="91" t="s">
        <v>1979</v>
      </c>
      <c r="D275" s="91" t="s">
        <v>2002</v>
      </c>
      <c r="E275" s="92" t="s">
        <v>2003</v>
      </c>
      <c r="F275" s="91" t="s">
        <v>81</v>
      </c>
      <c r="G275" s="80" t="s">
        <v>44</v>
      </c>
      <c r="H275" s="80" t="s">
        <v>21</v>
      </c>
      <c r="I275" s="91" t="s">
        <v>1982</v>
      </c>
      <c r="J275" s="80" t="s">
        <v>45</v>
      </c>
      <c r="K275" s="91" t="s">
        <v>1983</v>
      </c>
      <c r="L275" s="82" t="s">
        <v>2004</v>
      </c>
      <c r="M275" s="83">
        <f t="shared" si="1"/>
        <v>250</v>
      </c>
      <c r="N275" s="84">
        <v>250.0</v>
      </c>
      <c r="O275" s="84"/>
      <c r="P275" s="84"/>
      <c r="Q275" s="94">
        <v>845.0</v>
      </c>
      <c r="R275" s="94">
        <v>1353.0</v>
      </c>
      <c r="S275" s="95" t="s">
        <v>103</v>
      </c>
      <c r="T275" s="94">
        <v>1.0</v>
      </c>
      <c r="U275" s="96">
        <v>39258.0</v>
      </c>
      <c r="V275" s="97" t="s">
        <v>2005</v>
      </c>
      <c r="W275" s="97" t="s">
        <v>2006</v>
      </c>
      <c r="X275" s="79" t="s">
        <v>2007</v>
      </c>
      <c r="Y275" s="98"/>
      <c r="Z275" s="98"/>
      <c r="AA275" s="98"/>
      <c r="AB275" s="98"/>
      <c r="AC275" s="98"/>
      <c r="AD275" s="98"/>
      <c r="AE275" s="98"/>
      <c r="AF275" s="98"/>
      <c r="AG275" s="98"/>
      <c r="AH275" s="98"/>
      <c r="AI275" s="98"/>
      <c r="AJ275" s="98"/>
      <c r="AK275" s="98"/>
      <c r="AL275" s="98"/>
      <c r="AM275" s="98"/>
      <c r="AN275" s="98"/>
      <c r="AO275" s="98"/>
      <c r="AP275" s="98"/>
      <c r="AQ275" s="98"/>
      <c r="AR275" s="98"/>
    </row>
    <row r="276" ht="19.5" customHeight="1">
      <c r="A276" s="79">
        <v>265.0</v>
      </c>
      <c r="B276" s="91" t="s">
        <v>31</v>
      </c>
      <c r="C276" s="91" t="s">
        <v>1979</v>
      </c>
      <c r="D276" s="91" t="s">
        <v>2008</v>
      </c>
      <c r="E276" s="92" t="s">
        <v>2009</v>
      </c>
      <c r="F276" s="91" t="s">
        <v>81</v>
      </c>
      <c r="G276" s="80" t="s">
        <v>44</v>
      </c>
      <c r="H276" s="80" t="s">
        <v>21</v>
      </c>
      <c r="I276" s="91" t="s">
        <v>1982</v>
      </c>
      <c r="J276" s="80" t="s">
        <v>45</v>
      </c>
      <c r="K276" s="91" t="s">
        <v>2010</v>
      </c>
      <c r="L276" s="82" t="s">
        <v>2011</v>
      </c>
      <c r="M276" s="83">
        <f t="shared" si="1"/>
        <v>200</v>
      </c>
      <c r="N276" s="84">
        <v>200.0</v>
      </c>
      <c r="O276" s="84"/>
      <c r="P276" s="84"/>
      <c r="Q276" s="94">
        <v>4302.8</v>
      </c>
      <c r="R276" s="94">
        <v>984.05</v>
      </c>
      <c r="S276" s="95" t="s">
        <v>2012</v>
      </c>
      <c r="T276" s="94">
        <v>1.0</v>
      </c>
      <c r="U276" s="96">
        <v>39443.0</v>
      </c>
      <c r="V276" s="97" t="s">
        <v>2013</v>
      </c>
      <c r="W276" s="97" t="s">
        <v>2014</v>
      </c>
      <c r="X276" s="79" t="s">
        <v>2015</v>
      </c>
      <c r="Y276" s="98"/>
      <c r="Z276" s="98"/>
      <c r="AA276" s="98"/>
      <c r="AB276" s="98"/>
      <c r="AC276" s="98"/>
      <c r="AD276" s="98"/>
      <c r="AE276" s="98"/>
      <c r="AF276" s="98"/>
      <c r="AG276" s="98"/>
      <c r="AH276" s="98"/>
      <c r="AI276" s="98"/>
      <c r="AJ276" s="98"/>
      <c r="AK276" s="98"/>
      <c r="AL276" s="98"/>
      <c r="AM276" s="98"/>
      <c r="AN276" s="98"/>
      <c r="AO276" s="98"/>
      <c r="AP276" s="98"/>
      <c r="AQ276" s="98"/>
      <c r="AR276" s="98"/>
    </row>
    <row r="277" ht="19.5" customHeight="1">
      <c r="A277" s="79">
        <v>266.0</v>
      </c>
      <c r="B277" s="91" t="s">
        <v>31</v>
      </c>
      <c r="C277" s="128" t="s">
        <v>1979</v>
      </c>
      <c r="D277" s="128" t="s">
        <v>2016</v>
      </c>
      <c r="E277" s="129" t="s">
        <v>2017</v>
      </c>
      <c r="F277" s="128" t="s">
        <v>81</v>
      </c>
      <c r="G277" s="80" t="s">
        <v>42</v>
      </c>
      <c r="H277" s="80" t="s">
        <v>21</v>
      </c>
      <c r="I277" s="128" t="s">
        <v>1982</v>
      </c>
      <c r="J277" s="80" t="s">
        <v>47</v>
      </c>
      <c r="K277" s="91" t="s">
        <v>1983</v>
      </c>
      <c r="L277" s="82" t="s">
        <v>2018</v>
      </c>
      <c r="M277" s="83">
        <f t="shared" si="1"/>
        <v>500</v>
      </c>
      <c r="N277" s="84">
        <v>500.0</v>
      </c>
      <c r="O277" s="84"/>
      <c r="P277" s="84"/>
      <c r="Q277" s="94">
        <v>2889.4</v>
      </c>
      <c r="R277" s="94">
        <v>5163.89</v>
      </c>
      <c r="S277" s="95" t="s">
        <v>320</v>
      </c>
      <c r="T277" s="94">
        <v>1.0</v>
      </c>
      <c r="U277" s="96">
        <v>43055.0</v>
      </c>
      <c r="V277" s="97" t="s">
        <v>2019</v>
      </c>
      <c r="W277" s="97" t="s">
        <v>2020</v>
      </c>
      <c r="X277" s="79" t="s">
        <v>2021</v>
      </c>
      <c r="Y277" s="98"/>
      <c r="Z277" s="98"/>
      <c r="AA277" s="98"/>
      <c r="AB277" s="98"/>
      <c r="AC277" s="98"/>
      <c r="AD277" s="98"/>
      <c r="AE277" s="98"/>
      <c r="AF277" s="98"/>
      <c r="AG277" s="98"/>
      <c r="AH277" s="98"/>
      <c r="AI277" s="98"/>
      <c r="AJ277" s="98"/>
      <c r="AK277" s="98"/>
      <c r="AL277" s="98"/>
      <c r="AM277" s="98"/>
      <c r="AN277" s="98"/>
      <c r="AO277" s="98"/>
      <c r="AP277" s="98"/>
      <c r="AQ277" s="98"/>
      <c r="AR277" s="98"/>
    </row>
    <row r="278" ht="19.5" customHeight="1">
      <c r="A278" s="79">
        <v>267.0</v>
      </c>
      <c r="B278" s="91" t="s">
        <v>31</v>
      </c>
      <c r="C278" s="91" t="s">
        <v>2022</v>
      </c>
      <c r="D278" s="91" t="s">
        <v>2023</v>
      </c>
      <c r="E278" s="92" t="s">
        <v>2024</v>
      </c>
      <c r="F278" s="91" t="s">
        <v>81</v>
      </c>
      <c r="G278" s="80" t="s">
        <v>42</v>
      </c>
      <c r="H278" s="80" t="s">
        <v>21</v>
      </c>
      <c r="I278" s="91" t="s">
        <v>2025</v>
      </c>
      <c r="J278" s="80" t="s">
        <v>45</v>
      </c>
      <c r="K278" s="91" t="s">
        <v>2026</v>
      </c>
      <c r="L278" s="82" t="s">
        <v>2027</v>
      </c>
      <c r="M278" s="83">
        <f t="shared" si="1"/>
        <v>146</v>
      </c>
      <c r="N278" s="84">
        <v>146.0</v>
      </c>
      <c r="O278" s="84"/>
      <c r="P278" s="84"/>
      <c r="Q278" s="94">
        <v>12740.0</v>
      </c>
      <c r="R278" s="94">
        <v>7746.0</v>
      </c>
      <c r="S278" s="95" t="s">
        <v>282</v>
      </c>
      <c r="T278" s="94">
        <v>1.0</v>
      </c>
      <c r="U278" s="96">
        <v>38394.0</v>
      </c>
      <c r="V278" s="97" t="s">
        <v>2028</v>
      </c>
      <c r="W278" s="97" t="s">
        <v>2029</v>
      </c>
      <c r="X278" s="79" t="s">
        <v>2030</v>
      </c>
      <c r="Y278" s="98"/>
      <c r="Z278" s="98"/>
      <c r="AA278" s="98"/>
      <c r="AB278" s="98"/>
      <c r="AC278" s="98"/>
      <c r="AD278" s="98"/>
      <c r="AE278" s="98"/>
      <c r="AF278" s="98"/>
      <c r="AG278" s="98"/>
      <c r="AH278" s="98"/>
      <c r="AI278" s="98"/>
      <c r="AJ278" s="98"/>
      <c r="AK278" s="98"/>
      <c r="AL278" s="98"/>
      <c r="AM278" s="98"/>
      <c r="AN278" s="98"/>
      <c r="AO278" s="98"/>
      <c r="AP278" s="98"/>
      <c r="AQ278" s="98"/>
      <c r="AR278" s="98"/>
    </row>
    <row r="279" ht="19.5" customHeight="1">
      <c r="A279" s="79">
        <v>268.0</v>
      </c>
      <c r="B279" s="91" t="s">
        <v>31</v>
      </c>
      <c r="C279" s="95" t="s">
        <v>2022</v>
      </c>
      <c r="D279" s="95" t="s">
        <v>2031</v>
      </c>
      <c r="E279" s="100" t="s">
        <v>2032</v>
      </c>
      <c r="F279" s="95" t="s">
        <v>81</v>
      </c>
      <c r="G279" s="80" t="s">
        <v>42</v>
      </c>
      <c r="H279" s="80" t="s">
        <v>21</v>
      </c>
      <c r="I279" s="95" t="s">
        <v>2025</v>
      </c>
      <c r="J279" s="80" t="s">
        <v>45</v>
      </c>
      <c r="K279" s="91" t="s">
        <v>2026</v>
      </c>
      <c r="L279" s="82" t="s">
        <v>2033</v>
      </c>
      <c r="M279" s="83">
        <f t="shared" si="1"/>
        <v>1342</v>
      </c>
      <c r="N279" s="84">
        <v>1342.0</v>
      </c>
      <c r="O279" s="84"/>
      <c r="P279" s="84"/>
      <c r="Q279" s="94">
        <v>14996.0</v>
      </c>
      <c r="R279" s="94">
        <v>14323.0</v>
      </c>
      <c r="S279" s="95" t="s">
        <v>373</v>
      </c>
      <c r="T279" s="94">
        <v>1.0</v>
      </c>
      <c r="U279" s="96">
        <v>39561.0</v>
      </c>
      <c r="V279" s="97" t="s">
        <v>2034</v>
      </c>
      <c r="W279" s="97" t="s">
        <v>2035</v>
      </c>
      <c r="X279" s="79" t="s">
        <v>2030</v>
      </c>
      <c r="Y279" s="98"/>
      <c r="Z279" s="98"/>
      <c r="AA279" s="98"/>
      <c r="AB279" s="98"/>
      <c r="AC279" s="98"/>
      <c r="AD279" s="98"/>
      <c r="AE279" s="98"/>
      <c r="AF279" s="98"/>
      <c r="AG279" s="98"/>
      <c r="AH279" s="98"/>
      <c r="AI279" s="98"/>
      <c r="AJ279" s="98"/>
      <c r="AK279" s="98"/>
      <c r="AL279" s="98"/>
      <c r="AM279" s="98"/>
      <c r="AN279" s="98"/>
      <c r="AO279" s="98"/>
      <c r="AP279" s="98"/>
      <c r="AQ279" s="98"/>
      <c r="AR279" s="98"/>
    </row>
    <row r="280" ht="19.5" customHeight="1">
      <c r="A280" s="79">
        <v>269.0</v>
      </c>
      <c r="B280" s="91" t="s">
        <v>31</v>
      </c>
      <c r="C280" s="91" t="s">
        <v>2022</v>
      </c>
      <c r="D280" s="91" t="s">
        <v>2036</v>
      </c>
      <c r="E280" s="92" t="s">
        <v>2037</v>
      </c>
      <c r="F280" s="91" t="s">
        <v>81</v>
      </c>
      <c r="G280" s="80" t="s">
        <v>42</v>
      </c>
      <c r="H280" s="80" t="s">
        <v>21</v>
      </c>
      <c r="I280" s="91" t="s">
        <v>2025</v>
      </c>
      <c r="J280" s="80" t="s">
        <v>45</v>
      </c>
      <c r="K280" s="91" t="s">
        <v>2026</v>
      </c>
      <c r="L280" s="82" t="s">
        <v>2038</v>
      </c>
      <c r="M280" s="83">
        <f t="shared" si="1"/>
        <v>502</v>
      </c>
      <c r="N280" s="84">
        <v>502.0</v>
      </c>
      <c r="O280" s="84"/>
      <c r="P280" s="84"/>
      <c r="Q280" s="94">
        <v>1600.3</v>
      </c>
      <c r="R280" s="94">
        <v>4746.0</v>
      </c>
      <c r="S280" s="95" t="s">
        <v>112</v>
      </c>
      <c r="T280" s="94">
        <v>1.0</v>
      </c>
      <c r="U280" s="96">
        <v>37998.0</v>
      </c>
      <c r="V280" s="97" t="s">
        <v>2039</v>
      </c>
      <c r="W280" s="97" t="s">
        <v>2040</v>
      </c>
      <c r="X280" s="79" t="s">
        <v>2030</v>
      </c>
      <c r="Y280" s="98"/>
      <c r="Z280" s="98"/>
      <c r="AA280" s="98"/>
      <c r="AB280" s="98"/>
      <c r="AC280" s="98"/>
      <c r="AD280" s="98"/>
      <c r="AE280" s="98"/>
      <c r="AF280" s="98"/>
      <c r="AG280" s="98"/>
      <c r="AH280" s="98"/>
      <c r="AI280" s="98"/>
      <c r="AJ280" s="98"/>
      <c r="AK280" s="98"/>
      <c r="AL280" s="98"/>
      <c r="AM280" s="98"/>
      <c r="AN280" s="98"/>
      <c r="AO280" s="98"/>
      <c r="AP280" s="98"/>
      <c r="AQ280" s="98"/>
      <c r="AR280" s="98"/>
    </row>
    <row r="281" ht="19.5" customHeight="1">
      <c r="A281" s="79">
        <v>270.0</v>
      </c>
      <c r="B281" s="91" t="s">
        <v>31</v>
      </c>
      <c r="C281" s="91" t="s">
        <v>2022</v>
      </c>
      <c r="D281" s="91" t="s">
        <v>2041</v>
      </c>
      <c r="E281" s="92" t="s">
        <v>2042</v>
      </c>
      <c r="F281" s="91" t="s">
        <v>81</v>
      </c>
      <c r="G281" s="80" t="s">
        <v>42</v>
      </c>
      <c r="H281" s="80" t="s">
        <v>21</v>
      </c>
      <c r="I281" s="91" t="s">
        <v>2025</v>
      </c>
      <c r="J281" s="80" t="s">
        <v>45</v>
      </c>
      <c r="K281" s="91" t="s">
        <v>2026</v>
      </c>
      <c r="L281" s="82" t="s">
        <v>2043</v>
      </c>
      <c r="M281" s="83">
        <f t="shared" si="1"/>
        <v>784</v>
      </c>
      <c r="N281" s="84">
        <v>784.0</v>
      </c>
      <c r="O281" s="84"/>
      <c r="P281" s="84"/>
      <c r="Q281" s="94">
        <v>2922.0</v>
      </c>
      <c r="R281" s="94">
        <v>7329.0</v>
      </c>
      <c r="S281" s="95" t="s">
        <v>373</v>
      </c>
      <c r="T281" s="94">
        <v>1.0</v>
      </c>
      <c r="U281" s="96">
        <v>38407.0</v>
      </c>
      <c r="V281" s="97" t="s">
        <v>2044</v>
      </c>
      <c r="W281" s="97" t="s">
        <v>2045</v>
      </c>
      <c r="X281" s="79" t="s">
        <v>2030</v>
      </c>
      <c r="Y281" s="98"/>
      <c r="Z281" s="98"/>
      <c r="AA281" s="98"/>
      <c r="AB281" s="98"/>
      <c r="AC281" s="98"/>
      <c r="AD281" s="98"/>
      <c r="AE281" s="98"/>
      <c r="AF281" s="98"/>
      <c r="AG281" s="98"/>
      <c r="AH281" s="98"/>
      <c r="AI281" s="98"/>
      <c r="AJ281" s="98"/>
      <c r="AK281" s="98"/>
      <c r="AL281" s="98"/>
      <c r="AM281" s="98"/>
      <c r="AN281" s="98"/>
      <c r="AO281" s="98"/>
      <c r="AP281" s="98"/>
      <c r="AQ281" s="98"/>
      <c r="AR281" s="98"/>
    </row>
    <row r="282" ht="19.5" customHeight="1">
      <c r="A282" s="79">
        <v>271.0</v>
      </c>
      <c r="B282" s="91" t="s">
        <v>31</v>
      </c>
      <c r="C282" s="91" t="s">
        <v>2022</v>
      </c>
      <c r="D282" s="91" t="s">
        <v>2046</v>
      </c>
      <c r="E282" s="92" t="s">
        <v>2047</v>
      </c>
      <c r="F282" s="91" t="s">
        <v>81</v>
      </c>
      <c r="G282" s="80" t="s">
        <v>42</v>
      </c>
      <c r="H282" s="80" t="s">
        <v>21</v>
      </c>
      <c r="I282" s="91" t="s">
        <v>2025</v>
      </c>
      <c r="J282" s="80" t="s">
        <v>45</v>
      </c>
      <c r="K282" s="91" t="s">
        <v>2026</v>
      </c>
      <c r="L282" s="82" t="s">
        <v>2048</v>
      </c>
      <c r="M282" s="83">
        <f t="shared" si="1"/>
        <v>688</v>
      </c>
      <c r="N282" s="84">
        <v>688.0</v>
      </c>
      <c r="O282" s="84"/>
      <c r="P282" s="84"/>
      <c r="Q282" s="94">
        <v>10552.0</v>
      </c>
      <c r="R282" s="94">
        <v>6617.0</v>
      </c>
      <c r="S282" s="95" t="s">
        <v>2049</v>
      </c>
      <c r="T282" s="94">
        <v>2.0</v>
      </c>
      <c r="U282" s="96">
        <v>40373.0</v>
      </c>
      <c r="V282" s="97" t="s">
        <v>2050</v>
      </c>
      <c r="W282" s="97" t="s">
        <v>2051</v>
      </c>
      <c r="X282" s="79" t="s">
        <v>2030</v>
      </c>
      <c r="Y282" s="98"/>
      <c r="Z282" s="98"/>
      <c r="AA282" s="98"/>
      <c r="AB282" s="98"/>
      <c r="AC282" s="98"/>
      <c r="AD282" s="98"/>
      <c r="AE282" s="98"/>
      <c r="AF282" s="98"/>
      <c r="AG282" s="98"/>
      <c r="AH282" s="98"/>
      <c r="AI282" s="98"/>
      <c r="AJ282" s="98"/>
      <c r="AK282" s="98"/>
      <c r="AL282" s="98"/>
      <c r="AM282" s="98"/>
      <c r="AN282" s="98"/>
      <c r="AO282" s="98"/>
      <c r="AP282" s="98"/>
      <c r="AQ282" s="98"/>
      <c r="AR282" s="98"/>
    </row>
    <row r="283" ht="19.5" customHeight="1">
      <c r="A283" s="79">
        <v>272.0</v>
      </c>
      <c r="B283" s="91" t="s">
        <v>31</v>
      </c>
      <c r="C283" s="95" t="s">
        <v>2022</v>
      </c>
      <c r="D283" s="95" t="s">
        <v>2052</v>
      </c>
      <c r="E283" s="100" t="s">
        <v>2053</v>
      </c>
      <c r="F283" s="95" t="s">
        <v>81</v>
      </c>
      <c r="G283" s="80" t="s">
        <v>44</v>
      </c>
      <c r="H283" s="80" t="s">
        <v>21</v>
      </c>
      <c r="I283" s="95" t="s">
        <v>2025</v>
      </c>
      <c r="J283" s="80" t="s">
        <v>45</v>
      </c>
      <c r="K283" s="91" t="s">
        <v>2026</v>
      </c>
      <c r="L283" s="82" t="s">
        <v>2054</v>
      </c>
      <c r="M283" s="83">
        <f t="shared" si="1"/>
        <v>184</v>
      </c>
      <c r="N283" s="84">
        <v>184.0</v>
      </c>
      <c r="O283" s="84"/>
      <c r="P283" s="84"/>
      <c r="Q283" s="94">
        <v>1247.3</v>
      </c>
      <c r="R283" s="94">
        <v>721.18</v>
      </c>
      <c r="S283" s="95" t="s">
        <v>250</v>
      </c>
      <c r="T283" s="94">
        <v>1.0</v>
      </c>
      <c r="U283" s="96">
        <v>38394.0</v>
      </c>
      <c r="V283" s="97" t="s">
        <v>2055</v>
      </c>
      <c r="W283" s="97" t="s">
        <v>2056</v>
      </c>
      <c r="X283" s="79" t="s">
        <v>2030</v>
      </c>
      <c r="Y283" s="98"/>
      <c r="Z283" s="98"/>
      <c r="AA283" s="98"/>
      <c r="AB283" s="98"/>
      <c r="AC283" s="98"/>
      <c r="AD283" s="98"/>
      <c r="AE283" s="98"/>
      <c r="AF283" s="98"/>
      <c r="AG283" s="98"/>
      <c r="AH283" s="98"/>
      <c r="AI283" s="98"/>
      <c r="AJ283" s="98"/>
      <c r="AK283" s="98"/>
      <c r="AL283" s="98"/>
      <c r="AM283" s="98"/>
      <c r="AN283" s="98"/>
      <c r="AO283" s="98"/>
      <c r="AP283" s="98"/>
      <c r="AQ283" s="98"/>
      <c r="AR283" s="98"/>
    </row>
    <row r="284" ht="19.5" customHeight="1">
      <c r="A284" s="79">
        <v>273.0</v>
      </c>
      <c r="B284" s="91" t="s">
        <v>31</v>
      </c>
      <c r="C284" s="95" t="s">
        <v>2022</v>
      </c>
      <c r="D284" s="95" t="s">
        <v>2057</v>
      </c>
      <c r="E284" s="100" t="s">
        <v>2058</v>
      </c>
      <c r="F284" s="95" t="s">
        <v>81</v>
      </c>
      <c r="G284" s="80" t="s">
        <v>44</v>
      </c>
      <c r="H284" s="80" t="s">
        <v>21</v>
      </c>
      <c r="I284" s="95" t="s">
        <v>2025</v>
      </c>
      <c r="J284" s="80" t="s">
        <v>45</v>
      </c>
      <c r="K284" s="91" t="s">
        <v>2026</v>
      </c>
      <c r="L284" s="82" t="s">
        <v>2059</v>
      </c>
      <c r="M284" s="83">
        <f t="shared" si="1"/>
        <v>338</v>
      </c>
      <c r="N284" s="84">
        <v>338.0</v>
      </c>
      <c r="O284" s="84"/>
      <c r="P284" s="84"/>
      <c r="Q284" s="94">
        <v>964.0</v>
      </c>
      <c r="R284" s="94">
        <v>1838.0</v>
      </c>
      <c r="S284" s="95" t="s">
        <v>373</v>
      </c>
      <c r="T284" s="94">
        <v>1.0</v>
      </c>
      <c r="U284" s="96">
        <v>40163.0</v>
      </c>
      <c r="V284" s="97" t="s">
        <v>2060</v>
      </c>
      <c r="W284" s="97" t="s">
        <v>2061</v>
      </c>
      <c r="X284" s="79" t="s">
        <v>2030</v>
      </c>
      <c r="Y284" s="98"/>
      <c r="Z284" s="98"/>
      <c r="AA284" s="98"/>
      <c r="AB284" s="98"/>
      <c r="AC284" s="98"/>
      <c r="AD284" s="98"/>
      <c r="AE284" s="98"/>
      <c r="AF284" s="98"/>
      <c r="AG284" s="98"/>
      <c r="AH284" s="98"/>
      <c r="AI284" s="98"/>
      <c r="AJ284" s="98"/>
      <c r="AK284" s="98"/>
      <c r="AL284" s="98"/>
      <c r="AM284" s="98"/>
      <c r="AN284" s="98"/>
      <c r="AO284" s="98"/>
      <c r="AP284" s="98"/>
      <c r="AQ284" s="98"/>
      <c r="AR284" s="98"/>
    </row>
    <row r="285" ht="19.5" customHeight="1">
      <c r="A285" s="79">
        <v>274.0</v>
      </c>
      <c r="B285" s="91" t="s">
        <v>31</v>
      </c>
      <c r="C285" s="91" t="s">
        <v>2022</v>
      </c>
      <c r="D285" s="91" t="s">
        <v>2052</v>
      </c>
      <c r="E285" s="92" t="s">
        <v>2062</v>
      </c>
      <c r="F285" s="91" t="s">
        <v>22</v>
      </c>
      <c r="G285" s="80" t="s">
        <v>44</v>
      </c>
      <c r="H285" s="80" t="s">
        <v>22</v>
      </c>
      <c r="I285" s="91" t="s">
        <v>2063</v>
      </c>
      <c r="J285" s="80" t="s">
        <v>43</v>
      </c>
      <c r="K285" s="91" t="s">
        <v>2064</v>
      </c>
      <c r="L285" s="82" t="s">
        <v>2065</v>
      </c>
      <c r="M285" s="83">
        <f t="shared" si="1"/>
        <v>1500</v>
      </c>
      <c r="N285" s="84">
        <v>1500.0</v>
      </c>
      <c r="O285" s="84"/>
      <c r="P285" s="84"/>
      <c r="Q285" s="94">
        <v>8993.0</v>
      </c>
      <c r="R285" s="94">
        <v>11674.0</v>
      </c>
      <c r="S285" s="95" t="s">
        <v>373</v>
      </c>
      <c r="T285" s="94">
        <v>1.0</v>
      </c>
      <c r="U285" s="96">
        <v>40907.0</v>
      </c>
      <c r="V285" s="97" t="s">
        <v>2066</v>
      </c>
      <c r="W285" s="97" t="s">
        <v>2067</v>
      </c>
      <c r="X285" s="79" t="s">
        <v>40</v>
      </c>
      <c r="Y285" s="98"/>
      <c r="Z285" s="98"/>
      <c r="AA285" s="98"/>
      <c r="AB285" s="98"/>
      <c r="AC285" s="98"/>
      <c r="AD285" s="98"/>
      <c r="AE285" s="98"/>
      <c r="AF285" s="98"/>
      <c r="AG285" s="98"/>
      <c r="AH285" s="98"/>
      <c r="AI285" s="98"/>
      <c r="AJ285" s="98"/>
      <c r="AK285" s="98"/>
      <c r="AL285" s="98"/>
      <c r="AM285" s="98"/>
      <c r="AN285" s="98"/>
      <c r="AO285" s="98"/>
      <c r="AP285" s="98"/>
      <c r="AQ285" s="98"/>
      <c r="AR285" s="98"/>
    </row>
    <row r="286" ht="19.5" customHeight="1">
      <c r="A286" s="79">
        <v>275.0</v>
      </c>
      <c r="B286" s="91" t="s">
        <v>31</v>
      </c>
      <c r="C286" s="91" t="s">
        <v>2022</v>
      </c>
      <c r="D286" s="91" t="s">
        <v>2068</v>
      </c>
      <c r="E286" s="92" t="s">
        <v>2069</v>
      </c>
      <c r="F286" s="91" t="s">
        <v>81</v>
      </c>
      <c r="G286" s="80" t="s">
        <v>42</v>
      </c>
      <c r="H286" s="80" t="s">
        <v>21</v>
      </c>
      <c r="I286" s="91" t="s">
        <v>2025</v>
      </c>
      <c r="J286" s="80" t="s">
        <v>45</v>
      </c>
      <c r="K286" s="91" t="s">
        <v>2026</v>
      </c>
      <c r="L286" s="82" t="s">
        <v>2070</v>
      </c>
      <c r="M286" s="83">
        <f t="shared" si="1"/>
        <v>1340</v>
      </c>
      <c r="N286" s="84">
        <v>1340.0</v>
      </c>
      <c r="O286" s="84">
        <v>0.0</v>
      </c>
      <c r="P286" s="84">
        <v>0.0</v>
      </c>
      <c r="Q286" s="94">
        <v>4040.0</v>
      </c>
      <c r="R286" s="94">
        <v>14424.0</v>
      </c>
      <c r="S286" s="95" t="s">
        <v>250</v>
      </c>
      <c r="T286" s="94">
        <v>1.0</v>
      </c>
      <c r="U286" s="96">
        <v>43941.0</v>
      </c>
      <c r="V286" s="97" t="s">
        <v>2071</v>
      </c>
      <c r="W286" s="97" t="s">
        <v>2072</v>
      </c>
      <c r="X286" s="79" t="s">
        <v>2030</v>
      </c>
      <c r="Y286" s="98"/>
      <c r="Z286" s="98"/>
      <c r="AA286" s="98"/>
      <c r="AB286" s="98"/>
      <c r="AC286" s="98"/>
      <c r="AD286" s="98"/>
      <c r="AE286" s="98"/>
      <c r="AF286" s="98"/>
      <c r="AG286" s="98"/>
      <c r="AH286" s="98"/>
      <c r="AI286" s="98"/>
      <c r="AJ286" s="98"/>
      <c r="AK286" s="98"/>
      <c r="AL286" s="98"/>
      <c r="AM286" s="98"/>
      <c r="AN286" s="98"/>
      <c r="AO286" s="98"/>
      <c r="AP286" s="98"/>
      <c r="AQ286" s="98"/>
      <c r="AR286" s="98"/>
    </row>
    <row r="287" ht="19.5" customHeight="1">
      <c r="A287" s="79">
        <v>276.0</v>
      </c>
      <c r="B287" s="91" t="s">
        <v>31</v>
      </c>
      <c r="C287" s="95" t="s">
        <v>2073</v>
      </c>
      <c r="D287" s="95" t="s">
        <v>2074</v>
      </c>
      <c r="E287" s="100" t="s">
        <v>2075</v>
      </c>
      <c r="F287" s="95" t="s">
        <v>81</v>
      </c>
      <c r="G287" s="80" t="s">
        <v>42</v>
      </c>
      <c r="H287" s="80" t="s">
        <v>21</v>
      </c>
      <c r="I287" s="95" t="s">
        <v>2076</v>
      </c>
      <c r="J287" s="80" t="s">
        <v>45</v>
      </c>
      <c r="K287" s="91" t="s">
        <v>2077</v>
      </c>
      <c r="L287" s="82" t="s">
        <v>2078</v>
      </c>
      <c r="M287" s="83">
        <f t="shared" si="1"/>
        <v>330</v>
      </c>
      <c r="N287" s="84">
        <v>330.0</v>
      </c>
      <c r="O287" s="84">
        <v>0.0</v>
      </c>
      <c r="P287" s="84">
        <v>0.0</v>
      </c>
      <c r="Q287" s="94">
        <v>1953.6</v>
      </c>
      <c r="R287" s="94">
        <v>3191.5</v>
      </c>
      <c r="S287" s="95" t="s">
        <v>103</v>
      </c>
      <c r="T287" s="94">
        <v>1.0</v>
      </c>
      <c r="U287" s="96">
        <v>40556.0</v>
      </c>
      <c r="V287" s="97" t="s">
        <v>2079</v>
      </c>
      <c r="W287" s="97" t="s">
        <v>2080</v>
      </c>
      <c r="X287" s="79" t="s">
        <v>2081</v>
      </c>
      <c r="Y287" s="98"/>
      <c r="Z287" s="98"/>
      <c r="AA287" s="98"/>
      <c r="AB287" s="98"/>
      <c r="AC287" s="98"/>
      <c r="AD287" s="98"/>
      <c r="AE287" s="98"/>
      <c r="AF287" s="98"/>
      <c r="AG287" s="98"/>
      <c r="AH287" s="98"/>
      <c r="AI287" s="98"/>
      <c r="AJ287" s="98"/>
      <c r="AK287" s="98"/>
      <c r="AL287" s="98"/>
      <c r="AM287" s="98"/>
      <c r="AN287" s="98"/>
      <c r="AO287" s="98"/>
      <c r="AP287" s="98"/>
      <c r="AQ287" s="98"/>
      <c r="AR287" s="98"/>
    </row>
    <row r="288" ht="19.5" customHeight="1">
      <c r="A288" s="79">
        <v>277.0</v>
      </c>
      <c r="B288" s="91" t="s">
        <v>31</v>
      </c>
      <c r="C288" s="91" t="s">
        <v>2073</v>
      </c>
      <c r="D288" s="91" t="s">
        <v>2082</v>
      </c>
      <c r="E288" s="92" t="s">
        <v>2083</v>
      </c>
      <c r="F288" s="91" t="s">
        <v>81</v>
      </c>
      <c r="G288" s="80" t="s">
        <v>44</v>
      </c>
      <c r="H288" s="80" t="s">
        <v>21</v>
      </c>
      <c r="I288" s="91" t="s">
        <v>2076</v>
      </c>
      <c r="J288" s="80" t="s">
        <v>45</v>
      </c>
      <c r="K288" s="91" t="s">
        <v>2077</v>
      </c>
      <c r="L288" s="82" t="s">
        <v>2084</v>
      </c>
      <c r="M288" s="83">
        <f t="shared" si="1"/>
        <v>150</v>
      </c>
      <c r="N288" s="84">
        <v>150.0</v>
      </c>
      <c r="O288" s="84">
        <v>0.0</v>
      </c>
      <c r="P288" s="84">
        <v>0.0</v>
      </c>
      <c r="Q288" s="94">
        <v>737.7</v>
      </c>
      <c r="R288" s="94">
        <v>1438.18</v>
      </c>
      <c r="S288" s="95" t="s">
        <v>103</v>
      </c>
      <c r="T288" s="94">
        <v>1.0</v>
      </c>
      <c r="U288" s="96">
        <v>37532.0</v>
      </c>
      <c r="V288" s="97" t="s">
        <v>2085</v>
      </c>
      <c r="W288" s="97" t="s">
        <v>2086</v>
      </c>
      <c r="X288" s="79" t="s">
        <v>2081</v>
      </c>
      <c r="Y288" s="98"/>
      <c r="Z288" s="98"/>
      <c r="AA288" s="98"/>
      <c r="AB288" s="98"/>
      <c r="AC288" s="98"/>
      <c r="AD288" s="98"/>
      <c r="AE288" s="98"/>
      <c r="AF288" s="98"/>
      <c r="AG288" s="98"/>
      <c r="AH288" s="98"/>
      <c r="AI288" s="98"/>
      <c r="AJ288" s="98"/>
      <c r="AK288" s="98"/>
      <c r="AL288" s="98"/>
      <c r="AM288" s="98"/>
      <c r="AN288" s="98"/>
      <c r="AO288" s="98"/>
      <c r="AP288" s="98"/>
      <c r="AQ288" s="98"/>
      <c r="AR288" s="98"/>
    </row>
    <row r="289" ht="19.5" customHeight="1">
      <c r="A289" s="79">
        <v>278.0</v>
      </c>
      <c r="B289" s="91" t="s">
        <v>31</v>
      </c>
      <c r="C289" s="91" t="s">
        <v>2073</v>
      </c>
      <c r="D289" s="91" t="s">
        <v>2087</v>
      </c>
      <c r="E289" s="92" t="s">
        <v>2088</v>
      </c>
      <c r="F289" s="91" t="s">
        <v>81</v>
      </c>
      <c r="G289" s="80" t="s">
        <v>42</v>
      </c>
      <c r="H289" s="80" t="s">
        <v>21</v>
      </c>
      <c r="I289" s="91" t="s">
        <v>2076</v>
      </c>
      <c r="J289" s="80" t="s">
        <v>45</v>
      </c>
      <c r="K289" s="91" t="s">
        <v>2077</v>
      </c>
      <c r="L289" s="82" t="s">
        <v>2089</v>
      </c>
      <c r="M289" s="83">
        <f t="shared" si="1"/>
        <v>400</v>
      </c>
      <c r="N289" s="84">
        <v>400.0</v>
      </c>
      <c r="O289" s="84">
        <v>0.0</v>
      </c>
      <c r="P289" s="84">
        <v>0.0</v>
      </c>
      <c r="Q289" s="94">
        <v>1200.0</v>
      </c>
      <c r="R289" s="94">
        <v>2943.94</v>
      </c>
      <c r="S289" s="95" t="s">
        <v>373</v>
      </c>
      <c r="T289" s="94">
        <v>1.0</v>
      </c>
      <c r="U289" s="96">
        <v>41481.0</v>
      </c>
      <c r="V289" s="97" t="s">
        <v>2090</v>
      </c>
      <c r="W289" s="97" t="s">
        <v>2091</v>
      </c>
      <c r="X289" s="79" t="s">
        <v>2081</v>
      </c>
      <c r="Y289" s="98"/>
      <c r="Z289" s="98"/>
      <c r="AA289" s="98"/>
      <c r="AB289" s="98"/>
      <c r="AC289" s="98"/>
      <c r="AD289" s="98"/>
      <c r="AE289" s="98"/>
      <c r="AF289" s="98"/>
      <c r="AG289" s="98"/>
      <c r="AH289" s="98"/>
      <c r="AI289" s="98"/>
      <c r="AJ289" s="98"/>
      <c r="AK289" s="98"/>
      <c r="AL289" s="98"/>
      <c r="AM289" s="98"/>
      <c r="AN289" s="98"/>
      <c r="AO289" s="98"/>
      <c r="AP289" s="98"/>
      <c r="AQ289" s="98"/>
      <c r="AR289" s="98"/>
    </row>
    <row r="290" ht="19.5" customHeight="1">
      <c r="A290" s="79">
        <v>279.0</v>
      </c>
      <c r="B290" s="91" t="s">
        <v>31</v>
      </c>
      <c r="C290" s="91" t="s">
        <v>2073</v>
      </c>
      <c r="D290" s="91" t="s">
        <v>2041</v>
      </c>
      <c r="E290" s="92" t="s">
        <v>2092</v>
      </c>
      <c r="F290" s="91" t="s">
        <v>81</v>
      </c>
      <c r="G290" s="80" t="s">
        <v>44</v>
      </c>
      <c r="H290" s="80" t="s">
        <v>21</v>
      </c>
      <c r="I290" s="91" t="s">
        <v>2076</v>
      </c>
      <c r="J290" s="80" t="s">
        <v>45</v>
      </c>
      <c r="K290" s="91" t="s">
        <v>2077</v>
      </c>
      <c r="L290" s="82" t="s">
        <v>2093</v>
      </c>
      <c r="M290" s="83">
        <f t="shared" si="1"/>
        <v>100</v>
      </c>
      <c r="N290" s="84">
        <v>100.0</v>
      </c>
      <c r="O290" s="84">
        <v>0.0</v>
      </c>
      <c r="P290" s="84">
        <v>0.0</v>
      </c>
      <c r="Q290" s="94">
        <v>837.0</v>
      </c>
      <c r="R290" s="94">
        <v>835.5</v>
      </c>
      <c r="S290" s="95" t="s">
        <v>291</v>
      </c>
      <c r="T290" s="94">
        <v>1.0</v>
      </c>
      <c r="U290" s="96">
        <v>38713.0</v>
      </c>
      <c r="V290" s="97" t="s">
        <v>2094</v>
      </c>
      <c r="W290" s="97" t="s">
        <v>2095</v>
      </c>
      <c r="X290" s="79" t="s">
        <v>2081</v>
      </c>
      <c r="Y290" s="98"/>
      <c r="Z290" s="98"/>
      <c r="AA290" s="98"/>
      <c r="AB290" s="98"/>
      <c r="AC290" s="98"/>
      <c r="AD290" s="98"/>
      <c r="AE290" s="98"/>
      <c r="AF290" s="98"/>
      <c r="AG290" s="98"/>
      <c r="AH290" s="98"/>
      <c r="AI290" s="98"/>
      <c r="AJ290" s="98"/>
      <c r="AK290" s="98"/>
      <c r="AL290" s="98"/>
      <c r="AM290" s="98"/>
      <c r="AN290" s="98"/>
      <c r="AO290" s="98"/>
      <c r="AP290" s="98"/>
      <c r="AQ290" s="98"/>
      <c r="AR290" s="98"/>
    </row>
    <row r="291" ht="19.5" customHeight="1">
      <c r="A291" s="79">
        <v>280.0</v>
      </c>
      <c r="B291" s="91" t="s">
        <v>31</v>
      </c>
      <c r="C291" s="91" t="s">
        <v>2073</v>
      </c>
      <c r="D291" s="91" t="s">
        <v>2096</v>
      </c>
      <c r="E291" s="92" t="s">
        <v>2097</v>
      </c>
      <c r="F291" s="91" t="s">
        <v>81</v>
      </c>
      <c r="G291" s="80" t="s">
        <v>42</v>
      </c>
      <c r="H291" s="80" t="s">
        <v>21</v>
      </c>
      <c r="I291" s="91" t="s">
        <v>2076</v>
      </c>
      <c r="J291" s="80" t="s">
        <v>45</v>
      </c>
      <c r="K291" s="91" t="s">
        <v>2077</v>
      </c>
      <c r="L291" s="82" t="s">
        <v>2098</v>
      </c>
      <c r="M291" s="83">
        <f t="shared" si="1"/>
        <v>1490</v>
      </c>
      <c r="N291" s="84">
        <v>1490.0</v>
      </c>
      <c r="O291" s="84"/>
      <c r="P291" s="84"/>
      <c r="Q291" s="94">
        <v>55661.0</v>
      </c>
      <c r="R291" s="94">
        <v>17462.67</v>
      </c>
      <c r="S291" s="95" t="s">
        <v>2099</v>
      </c>
      <c r="T291" s="94">
        <v>5.0</v>
      </c>
      <c r="U291" s="96">
        <v>37086.0</v>
      </c>
      <c r="V291" s="97" t="s">
        <v>2100</v>
      </c>
      <c r="W291" s="97" t="s">
        <v>2101</v>
      </c>
      <c r="X291" s="79" t="s">
        <v>2081</v>
      </c>
      <c r="Y291" s="98"/>
      <c r="Z291" s="98"/>
      <c r="AA291" s="98"/>
      <c r="AB291" s="98"/>
      <c r="AC291" s="98"/>
      <c r="AD291" s="98"/>
      <c r="AE291" s="98"/>
      <c r="AF291" s="98"/>
      <c r="AG291" s="98"/>
      <c r="AH291" s="98"/>
      <c r="AI291" s="98"/>
      <c r="AJ291" s="98"/>
      <c r="AK291" s="98"/>
      <c r="AL291" s="98"/>
      <c r="AM291" s="98"/>
      <c r="AN291" s="98"/>
      <c r="AO291" s="98"/>
      <c r="AP291" s="98"/>
      <c r="AQ291" s="98"/>
      <c r="AR291" s="98"/>
    </row>
    <row r="292" ht="19.5" customHeight="1">
      <c r="A292" s="79">
        <v>281.0</v>
      </c>
      <c r="B292" s="91" t="s">
        <v>31</v>
      </c>
      <c r="C292" s="91" t="s">
        <v>2073</v>
      </c>
      <c r="D292" s="91" t="s">
        <v>766</v>
      </c>
      <c r="E292" s="92" t="s">
        <v>2102</v>
      </c>
      <c r="F292" s="91" t="s">
        <v>81</v>
      </c>
      <c r="G292" s="80" t="s">
        <v>44</v>
      </c>
      <c r="H292" s="80" t="s">
        <v>21</v>
      </c>
      <c r="I292" s="91" t="s">
        <v>2076</v>
      </c>
      <c r="J292" s="80" t="s">
        <v>45</v>
      </c>
      <c r="K292" s="91" t="s">
        <v>2077</v>
      </c>
      <c r="L292" s="82" t="s">
        <v>2103</v>
      </c>
      <c r="M292" s="83">
        <f t="shared" si="1"/>
        <v>177</v>
      </c>
      <c r="N292" s="84">
        <v>177.0</v>
      </c>
      <c r="O292" s="84">
        <v>0.0</v>
      </c>
      <c r="P292" s="84">
        <v>0.0</v>
      </c>
      <c r="Q292" s="94">
        <v>3300.0</v>
      </c>
      <c r="R292" s="94">
        <v>1681.83</v>
      </c>
      <c r="S292" s="95" t="s">
        <v>350</v>
      </c>
      <c r="T292" s="94">
        <v>1.0</v>
      </c>
      <c r="U292" s="96">
        <v>42916.0</v>
      </c>
      <c r="V292" s="97" t="s">
        <v>2104</v>
      </c>
      <c r="W292" s="97" t="s">
        <v>2105</v>
      </c>
      <c r="X292" s="79" t="s">
        <v>2081</v>
      </c>
      <c r="Y292" s="98"/>
      <c r="Z292" s="98"/>
      <c r="AA292" s="98"/>
      <c r="AB292" s="98"/>
      <c r="AC292" s="98"/>
      <c r="AD292" s="98"/>
      <c r="AE292" s="98"/>
      <c r="AF292" s="98"/>
      <c r="AG292" s="98"/>
      <c r="AH292" s="98"/>
      <c r="AI292" s="98"/>
      <c r="AJ292" s="98"/>
      <c r="AK292" s="98"/>
      <c r="AL292" s="98"/>
      <c r="AM292" s="98"/>
      <c r="AN292" s="98"/>
      <c r="AO292" s="98"/>
      <c r="AP292" s="98"/>
      <c r="AQ292" s="98"/>
      <c r="AR292" s="98"/>
    </row>
    <row r="293" ht="19.5" customHeight="1">
      <c r="A293" s="79">
        <v>282.0</v>
      </c>
      <c r="B293" s="91" t="s">
        <v>31</v>
      </c>
      <c r="C293" s="91" t="s">
        <v>2073</v>
      </c>
      <c r="D293" s="91" t="s">
        <v>2106</v>
      </c>
      <c r="E293" s="92" t="s">
        <v>2107</v>
      </c>
      <c r="F293" s="91" t="s">
        <v>81</v>
      </c>
      <c r="G293" s="80" t="s">
        <v>44</v>
      </c>
      <c r="H293" s="80" t="s">
        <v>21</v>
      </c>
      <c r="I293" s="91" t="s">
        <v>2076</v>
      </c>
      <c r="J293" s="80" t="s">
        <v>45</v>
      </c>
      <c r="K293" s="91" t="s">
        <v>2077</v>
      </c>
      <c r="L293" s="82" t="s">
        <v>2108</v>
      </c>
      <c r="M293" s="83">
        <f t="shared" si="1"/>
        <v>249</v>
      </c>
      <c r="N293" s="84">
        <v>249.0</v>
      </c>
      <c r="O293" s="84">
        <v>0.0</v>
      </c>
      <c r="P293" s="84">
        <v>0.0</v>
      </c>
      <c r="Q293" s="94">
        <v>997.2</v>
      </c>
      <c r="R293" s="94">
        <v>2057.66</v>
      </c>
      <c r="S293" s="95" t="s">
        <v>373</v>
      </c>
      <c r="T293" s="94">
        <v>1.0</v>
      </c>
      <c r="U293" s="96">
        <v>43452.0</v>
      </c>
      <c r="V293" s="97" t="s">
        <v>2109</v>
      </c>
      <c r="W293" s="97" t="s">
        <v>2110</v>
      </c>
      <c r="X293" s="79" t="s">
        <v>2081</v>
      </c>
      <c r="Y293" s="98"/>
      <c r="Z293" s="98"/>
      <c r="AA293" s="98"/>
      <c r="AB293" s="98"/>
      <c r="AC293" s="98"/>
      <c r="AD293" s="98"/>
      <c r="AE293" s="98"/>
      <c r="AF293" s="98"/>
      <c r="AG293" s="98"/>
      <c r="AH293" s="98"/>
      <c r="AI293" s="98"/>
      <c r="AJ293" s="98"/>
      <c r="AK293" s="98"/>
      <c r="AL293" s="98"/>
      <c r="AM293" s="98"/>
      <c r="AN293" s="98"/>
      <c r="AO293" s="98"/>
      <c r="AP293" s="98"/>
      <c r="AQ293" s="98"/>
      <c r="AR293" s="98"/>
    </row>
    <row r="294" ht="19.5" customHeight="1">
      <c r="A294" s="79">
        <v>283.0</v>
      </c>
      <c r="B294" s="91" t="s">
        <v>31</v>
      </c>
      <c r="C294" s="95" t="s">
        <v>2073</v>
      </c>
      <c r="D294" s="95" t="s">
        <v>2111</v>
      </c>
      <c r="E294" s="100" t="s">
        <v>2112</v>
      </c>
      <c r="F294" s="95" t="s">
        <v>81</v>
      </c>
      <c r="G294" s="80" t="s">
        <v>12</v>
      </c>
      <c r="H294" s="80" t="s">
        <v>21</v>
      </c>
      <c r="I294" s="95" t="s">
        <v>2076</v>
      </c>
      <c r="J294" s="80" t="s">
        <v>45</v>
      </c>
      <c r="K294" s="91" t="s">
        <v>2077</v>
      </c>
      <c r="L294" s="82" t="s">
        <v>2113</v>
      </c>
      <c r="M294" s="83">
        <f t="shared" si="1"/>
        <v>308</v>
      </c>
      <c r="N294" s="84">
        <v>0.0</v>
      </c>
      <c r="O294" s="84">
        <v>184.0</v>
      </c>
      <c r="P294" s="84">
        <v>124.0</v>
      </c>
      <c r="Q294" s="94">
        <v>26136.0</v>
      </c>
      <c r="R294" s="94">
        <v>5584.44</v>
      </c>
      <c r="S294" s="95" t="s">
        <v>103</v>
      </c>
      <c r="T294" s="94">
        <v>6.0</v>
      </c>
      <c r="U294" s="96">
        <v>43557.0</v>
      </c>
      <c r="V294" s="97" t="s">
        <v>2114</v>
      </c>
      <c r="W294" s="97" t="s">
        <v>2115</v>
      </c>
      <c r="X294" s="79" t="s">
        <v>2081</v>
      </c>
      <c r="Y294" s="98"/>
      <c r="Z294" s="98"/>
      <c r="AA294" s="98"/>
      <c r="AB294" s="98"/>
      <c r="AC294" s="98"/>
      <c r="AD294" s="98"/>
      <c r="AE294" s="98"/>
      <c r="AF294" s="98"/>
      <c r="AG294" s="98"/>
      <c r="AH294" s="98"/>
      <c r="AI294" s="98"/>
      <c r="AJ294" s="98"/>
      <c r="AK294" s="98"/>
      <c r="AL294" s="98"/>
      <c r="AM294" s="98"/>
      <c r="AN294" s="98"/>
      <c r="AO294" s="98"/>
      <c r="AP294" s="98"/>
      <c r="AQ294" s="98"/>
      <c r="AR294" s="98"/>
    </row>
    <row r="295" ht="19.5" customHeight="1">
      <c r="A295" s="79">
        <v>284.0</v>
      </c>
      <c r="B295" s="91" t="s">
        <v>31</v>
      </c>
      <c r="C295" s="79" t="s">
        <v>2116</v>
      </c>
      <c r="D295" s="79" t="s">
        <v>2117</v>
      </c>
      <c r="E295" s="102" t="s">
        <v>2118</v>
      </c>
      <c r="F295" s="79" t="s">
        <v>81</v>
      </c>
      <c r="G295" s="80" t="s">
        <v>42</v>
      </c>
      <c r="H295" s="80" t="s">
        <v>21</v>
      </c>
      <c r="I295" s="79" t="s">
        <v>2119</v>
      </c>
      <c r="J295" s="80" t="s">
        <v>45</v>
      </c>
      <c r="K295" s="79" t="s">
        <v>2120</v>
      </c>
      <c r="L295" s="93" t="s">
        <v>2121</v>
      </c>
      <c r="M295" s="83">
        <f t="shared" si="1"/>
        <v>700</v>
      </c>
      <c r="N295" s="84">
        <v>700.0</v>
      </c>
      <c r="O295" s="84">
        <v>0.0</v>
      </c>
      <c r="P295" s="84">
        <v>0.0</v>
      </c>
      <c r="Q295" s="94">
        <v>5510.4</v>
      </c>
      <c r="R295" s="94">
        <v>8990.45</v>
      </c>
      <c r="S295" s="95" t="s">
        <v>2122</v>
      </c>
      <c r="T295" s="94">
        <v>1.0</v>
      </c>
      <c r="U295" s="96" t="s">
        <v>2123</v>
      </c>
      <c r="V295" s="97" t="s">
        <v>2124</v>
      </c>
      <c r="W295" s="97" t="s">
        <v>2125</v>
      </c>
      <c r="X295" s="79" t="s">
        <v>2126</v>
      </c>
      <c r="Y295" s="98"/>
      <c r="Z295" s="98"/>
      <c r="AA295" s="98"/>
      <c r="AB295" s="98"/>
      <c r="AC295" s="98"/>
      <c r="AD295" s="98"/>
      <c r="AE295" s="98"/>
      <c r="AF295" s="98"/>
      <c r="AG295" s="98"/>
      <c r="AH295" s="98"/>
      <c r="AI295" s="98"/>
      <c r="AJ295" s="98"/>
      <c r="AK295" s="98"/>
      <c r="AL295" s="98"/>
      <c r="AM295" s="98"/>
      <c r="AN295" s="98"/>
      <c r="AO295" s="98"/>
      <c r="AP295" s="98"/>
      <c r="AQ295" s="98"/>
      <c r="AR295" s="98"/>
    </row>
    <row r="296" ht="19.5" customHeight="1">
      <c r="A296" s="79">
        <v>285.0</v>
      </c>
      <c r="B296" s="91" t="s">
        <v>31</v>
      </c>
      <c r="C296" s="79" t="s">
        <v>2116</v>
      </c>
      <c r="D296" s="79" t="s">
        <v>2127</v>
      </c>
      <c r="E296" s="102" t="s">
        <v>2128</v>
      </c>
      <c r="F296" s="79" t="s">
        <v>81</v>
      </c>
      <c r="G296" s="80" t="s">
        <v>44</v>
      </c>
      <c r="H296" s="80" t="s">
        <v>21</v>
      </c>
      <c r="I296" s="79" t="s">
        <v>2119</v>
      </c>
      <c r="J296" s="80" t="s">
        <v>45</v>
      </c>
      <c r="K296" s="79" t="s">
        <v>2120</v>
      </c>
      <c r="L296" s="93" t="s">
        <v>2129</v>
      </c>
      <c r="M296" s="83">
        <f t="shared" si="1"/>
        <v>150</v>
      </c>
      <c r="N296" s="84">
        <v>150.0</v>
      </c>
      <c r="O296" s="84">
        <v>0.0</v>
      </c>
      <c r="P296" s="84">
        <v>0.0</v>
      </c>
      <c r="Q296" s="94">
        <v>3011.59</v>
      </c>
      <c r="R296" s="94">
        <v>502.0</v>
      </c>
      <c r="S296" s="95" t="s">
        <v>2130</v>
      </c>
      <c r="T296" s="94">
        <v>1.0</v>
      </c>
      <c r="U296" s="96" t="s">
        <v>2131</v>
      </c>
      <c r="V296" s="97" t="s">
        <v>2132</v>
      </c>
      <c r="W296" s="97" t="s">
        <v>2132</v>
      </c>
      <c r="X296" s="79" t="s">
        <v>2133</v>
      </c>
      <c r="Y296" s="98"/>
      <c r="Z296" s="98"/>
      <c r="AA296" s="98"/>
      <c r="AB296" s="98"/>
      <c r="AC296" s="98"/>
      <c r="AD296" s="98"/>
      <c r="AE296" s="98"/>
      <c r="AF296" s="98"/>
      <c r="AG296" s="98"/>
      <c r="AH296" s="98"/>
      <c r="AI296" s="98"/>
      <c r="AJ296" s="98"/>
      <c r="AK296" s="98"/>
      <c r="AL296" s="98"/>
      <c r="AM296" s="98"/>
      <c r="AN296" s="98"/>
      <c r="AO296" s="98"/>
      <c r="AP296" s="98"/>
      <c r="AQ296" s="98"/>
      <c r="AR296" s="98"/>
    </row>
    <row r="297" ht="19.5" customHeight="1">
      <c r="A297" s="79">
        <v>286.0</v>
      </c>
      <c r="B297" s="91" t="s">
        <v>31</v>
      </c>
      <c r="C297" s="79" t="s">
        <v>2116</v>
      </c>
      <c r="D297" s="79" t="s">
        <v>2134</v>
      </c>
      <c r="E297" s="102" t="s">
        <v>2135</v>
      </c>
      <c r="F297" s="79" t="s">
        <v>81</v>
      </c>
      <c r="G297" s="80" t="s">
        <v>44</v>
      </c>
      <c r="H297" s="80" t="s">
        <v>21</v>
      </c>
      <c r="I297" s="79" t="s">
        <v>2119</v>
      </c>
      <c r="J297" s="80" t="s">
        <v>45</v>
      </c>
      <c r="K297" s="79" t="s">
        <v>2120</v>
      </c>
      <c r="L297" s="93" t="s">
        <v>2136</v>
      </c>
      <c r="M297" s="83">
        <f t="shared" si="1"/>
        <v>250</v>
      </c>
      <c r="N297" s="84">
        <v>250.0</v>
      </c>
      <c r="O297" s="84">
        <v>0.0</v>
      </c>
      <c r="P297" s="84">
        <v>0.0</v>
      </c>
      <c r="Q297" s="94">
        <v>1392.0</v>
      </c>
      <c r="R297" s="94">
        <v>1088.0</v>
      </c>
      <c r="S297" s="95" t="s">
        <v>2137</v>
      </c>
      <c r="T297" s="94">
        <v>1.0</v>
      </c>
      <c r="U297" s="96" t="s">
        <v>2138</v>
      </c>
      <c r="V297" s="97" t="s">
        <v>2139</v>
      </c>
      <c r="W297" s="97" t="s">
        <v>2140</v>
      </c>
      <c r="X297" s="79" t="s">
        <v>2141</v>
      </c>
      <c r="Y297" s="98"/>
      <c r="Z297" s="98"/>
      <c r="AA297" s="98"/>
      <c r="AB297" s="98"/>
      <c r="AC297" s="98"/>
      <c r="AD297" s="98"/>
      <c r="AE297" s="98"/>
      <c r="AF297" s="98"/>
      <c r="AG297" s="98"/>
      <c r="AH297" s="98"/>
      <c r="AI297" s="98"/>
      <c r="AJ297" s="98"/>
      <c r="AK297" s="98"/>
      <c r="AL297" s="98"/>
      <c r="AM297" s="98"/>
      <c r="AN297" s="98"/>
      <c r="AO297" s="98"/>
      <c r="AP297" s="98"/>
      <c r="AQ297" s="98"/>
      <c r="AR297" s="98"/>
    </row>
    <row r="298" ht="19.5" customHeight="1">
      <c r="A298" s="79">
        <v>287.0</v>
      </c>
      <c r="B298" s="91" t="s">
        <v>31</v>
      </c>
      <c r="C298" s="79" t="s">
        <v>2116</v>
      </c>
      <c r="D298" s="79" t="s">
        <v>2142</v>
      </c>
      <c r="E298" s="102" t="s">
        <v>2143</v>
      </c>
      <c r="F298" s="79" t="s">
        <v>81</v>
      </c>
      <c r="G298" s="80" t="s">
        <v>44</v>
      </c>
      <c r="H298" s="80" t="s">
        <v>21</v>
      </c>
      <c r="I298" s="79" t="s">
        <v>2119</v>
      </c>
      <c r="J298" s="80" t="s">
        <v>45</v>
      </c>
      <c r="K298" s="79" t="s">
        <v>2120</v>
      </c>
      <c r="L298" s="93" t="s">
        <v>2144</v>
      </c>
      <c r="M298" s="83">
        <f t="shared" si="1"/>
        <v>300</v>
      </c>
      <c r="N298" s="84">
        <v>300.0</v>
      </c>
      <c r="O298" s="84">
        <v>0.0</v>
      </c>
      <c r="P298" s="84">
        <v>0.0</v>
      </c>
      <c r="Q298" s="94">
        <v>9721.0</v>
      </c>
      <c r="R298" s="94">
        <v>1853.0</v>
      </c>
      <c r="S298" s="95" t="s">
        <v>320</v>
      </c>
      <c r="T298" s="94">
        <v>1.0</v>
      </c>
      <c r="U298" s="96" t="s">
        <v>2145</v>
      </c>
      <c r="V298" s="97" t="s">
        <v>2146</v>
      </c>
      <c r="W298" s="97" t="s">
        <v>2147</v>
      </c>
      <c r="X298" s="79" t="s">
        <v>2148</v>
      </c>
      <c r="Y298" s="98"/>
      <c r="Z298" s="98"/>
      <c r="AA298" s="98"/>
      <c r="AB298" s="98"/>
      <c r="AC298" s="98"/>
      <c r="AD298" s="98"/>
      <c r="AE298" s="98"/>
      <c r="AF298" s="98"/>
      <c r="AG298" s="98"/>
      <c r="AH298" s="98"/>
      <c r="AI298" s="98"/>
      <c r="AJ298" s="98"/>
      <c r="AK298" s="98"/>
      <c r="AL298" s="98"/>
      <c r="AM298" s="98"/>
      <c r="AN298" s="98"/>
      <c r="AO298" s="98"/>
      <c r="AP298" s="98"/>
      <c r="AQ298" s="98"/>
      <c r="AR298" s="98"/>
    </row>
    <row r="299" ht="19.5" customHeight="1">
      <c r="A299" s="79">
        <v>288.0</v>
      </c>
      <c r="B299" s="91" t="s">
        <v>31</v>
      </c>
      <c r="C299" s="79" t="s">
        <v>2116</v>
      </c>
      <c r="D299" s="79" t="s">
        <v>2149</v>
      </c>
      <c r="E299" s="102" t="s">
        <v>2150</v>
      </c>
      <c r="F299" s="79" t="s">
        <v>81</v>
      </c>
      <c r="G299" s="80" t="s">
        <v>44</v>
      </c>
      <c r="H299" s="80" t="s">
        <v>21</v>
      </c>
      <c r="I299" s="79" t="s">
        <v>2119</v>
      </c>
      <c r="J299" s="80" t="s">
        <v>45</v>
      </c>
      <c r="K299" s="79" t="s">
        <v>2120</v>
      </c>
      <c r="L299" s="93" t="s">
        <v>2151</v>
      </c>
      <c r="M299" s="83">
        <f t="shared" si="1"/>
        <v>200</v>
      </c>
      <c r="N299" s="84">
        <v>200.0</v>
      </c>
      <c r="O299" s="84">
        <v>0.0</v>
      </c>
      <c r="P299" s="84">
        <v>0.0</v>
      </c>
      <c r="Q299" s="94">
        <v>667.37</v>
      </c>
      <c r="R299" s="94">
        <v>667.0</v>
      </c>
      <c r="S299" s="95" t="s">
        <v>2122</v>
      </c>
      <c r="T299" s="94">
        <v>1.0</v>
      </c>
      <c r="U299" s="96" t="s">
        <v>2152</v>
      </c>
      <c r="V299" s="97" t="s">
        <v>2153</v>
      </c>
      <c r="W299" s="97" t="s">
        <v>2154</v>
      </c>
      <c r="X299" s="79" t="s">
        <v>2155</v>
      </c>
      <c r="Y299" s="98"/>
      <c r="Z299" s="98"/>
      <c r="AA299" s="98"/>
      <c r="AB299" s="98"/>
      <c r="AC299" s="98"/>
      <c r="AD299" s="98"/>
      <c r="AE299" s="98"/>
      <c r="AF299" s="98"/>
      <c r="AG299" s="98"/>
      <c r="AH299" s="98"/>
      <c r="AI299" s="98"/>
      <c r="AJ299" s="98"/>
      <c r="AK299" s="98"/>
      <c r="AL299" s="98"/>
      <c r="AM299" s="98"/>
      <c r="AN299" s="98"/>
      <c r="AO299" s="98"/>
      <c r="AP299" s="98"/>
      <c r="AQ299" s="98"/>
      <c r="AR299" s="98"/>
    </row>
    <row r="300" ht="19.5" customHeight="1">
      <c r="A300" s="79">
        <v>289.0</v>
      </c>
      <c r="B300" s="91" t="s">
        <v>31</v>
      </c>
      <c r="C300" s="79" t="s">
        <v>2116</v>
      </c>
      <c r="D300" s="79" t="s">
        <v>2156</v>
      </c>
      <c r="E300" s="102" t="s">
        <v>2157</v>
      </c>
      <c r="F300" s="79" t="s">
        <v>81</v>
      </c>
      <c r="G300" s="80" t="s">
        <v>44</v>
      </c>
      <c r="H300" s="80" t="s">
        <v>21</v>
      </c>
      <c r="I300" s="79" t="s">
        <v>2119</v>
      </c>
      <c r="J300" s="80" t="s">
        <v>45</v>
      </c>
      <c r="K300" s="79" t="s">
        <v>2120</v>
      </c>
      <c r="L300" s="93" t="s">
        <v>2158</v>
      </c>
      <c r="M300" s="83">
        <f t="shared" si="1"/>
        <v>150</v>
      </c>
      <c r="N300" s="84">
        <v>150.0</v>
      </c>
      <c r="O300" s="84">
        <v>0.0</v>
      </c>
      <c r="P300" s="84">
        <v>0.0</v>
      </c>
      <c r="Q300" s="94">
        <v>5510.4</v>
      </c>
      <c r="R300" s="94">
        <v>724.39</v>
      </c>
      <c r="S300" s="95" t="s">
        <v>2130</v>
      </c>
      <c r="T300" s="94">
        <v>1.0</v>
      </c>
      <c r="U300" s="96" t="s">
        <v>2159</v>
      </c>
      <c r="V300" s="97" t="s">
        <v>2160</v>
      </c>
      <c r="W300" s="97" t="s">
        <v>2161</v>
      </c>
      <c r="X300" s="79" t="s">
        <v>2162</v>
      </c>
      <c r="Y300" s="98"/>
      <c r="Z300" s="98"/>
      <c r="AA300" s="98"/>
      <c r="AB300" s="98"/>
      <c r="AC300" s="98"/>
      <c r="AD300" s="98"/>
      <c r="AE300" s="98"/>
      <c r="AF300" s="98"/>
      <c r="AG300" s="98"/>
      <c r="AH300" s="98"/>
      <c r="AI300" s="98"/>
      <c r="AJ300" s="98"/>
      <c r="AK300" s="98"/>
      <c r="AL300" s="98"/>
      <c r="AM300" s="98"/>
      <c r="AN300" s="98"/>
      <c r="AO300" s="98"/>
      <c r="AP300" s="98"/>
      <c r="AQ300" s="98"/>
      <c r="AR300" s="98"/>
    </row>
    <row r="301" ht="19.5" customHeight="1">
      <c r="A301" s="79">
        <v>290.0</v>
      </c>
      <c r="B301" s="91" t="s">
        <v>31</v>
      </c>
      <c r="C301" s="79" t="s">
        <v>2116</v>
      </c>
      <c r="D301" s="79" t="s">
        <v>2163</v>
      </c>
      <c r="E301" s="102" t="s">
        <v>2164</v>
      </c>
      <c r="F301" s="79" t="s">
        <v>81</v>
      </c>
      <c r="G301" s="80" t="s">
        <v>44</v>
      </c>
      <c r="H301" s="80" t="s">
        <v>21</v>
      </c>
      <c r="I301" s="79" t="s">
        <v>2119</v>
      </c>
      <c r="J301" s="80" t="s">
        <v>45</v>
      </c>
      <c r="K301" s="79" t="s">
        <v>2120</v>
      </c>
      <c r="L301" s="93" t="s">
        <v>2165</v>
      </c>
      <c r="M301" s="83">
        <f t="shared" si="1"/>
        <v>250</v>
      </c>
      <c r="N301" s="84">
        <v>250.0</v>
      </c>
      <c r="O301" s="84">
        <v>0.0</v>
      </c>
      <c r="P301" s="84">
        <v>0.0</v>
      </c>
      <c r="Q301" s="94">
        <v>4060.41</v>
      </c>
      <c r="R301" s="94">
        <v>643.96</v>
      </c>
      <c r="S301" s="95" t="s">
        <v>2130</v>
      </c>
      <c r="T301" s="94">
        <v>1.0</v>
      </c>
      <c r="U301" s="96" t="s">
        <v>2166</v>
      </c>
      <c r="V301" s="97" t="s">
        <v>2167</v>
      </c>
      <c r="W301" s="97" t="s">
        <v>2168</v>
      </c>
      <c r="X301" s="79" t="s">
        <v>2169</v>
      </c>
      <c r="Y301" s="98"/>
      <c r="Z301" s="98"/>
      <c r="AA301" s="98"/>
      <c r="AB301" s="98"/>
      <c r="AC301" s="98"/>
      <c r="AD301" s="98"/>
      <c r="AE301" s="98"/>
      <c r="AF301" s="98"/>
      <c r="AG301" s="98"/>
      <c r="AH301" s="98"/>
      <c r="AI301" s="98"/>
      <c r="AJ301" s="98"/>
      <c r="AK301" s="98"/>
      <c r="AL301" s="98"/>
      <c r="AM301" s="98"/>
      <c r="AN301" s="98"/>
      <c r="AO301" s="98"/>
      <c r="AP301" s="98"/>
      <c r="AQ301" s="98"/>
      <c r="AR301" s="98"/>
    </row>
    <row r="302" ht="19.5" customHeight="1">
      <c r="A302" s="79">
        <v>291.0</v>
      </c>
      <c r="B302" s="91" t="s">
        <v>31</v>
      </c>
      <c r="C302" s="79" t="s">
        <v>2116</v>
      </c>
      <c r="D302" s="79" t="s">
        <v>2170</v>
      </c>
      <c r="E302" s="92" t="s">
        <v>2171</v>
      </c>
      <c r="F302" s="91" t="s">
        <v>81</v>
      </c>
      <c r="G302" s="80" t="s">
        <v>44</v>
      </c>
      <c r="H302" s="80" t="s">
        <v>21</v>
      </c>
      <c r="I302" s="91" t="s">
        <v>2119</v>
      </c>
      <c r="J302" s="80" t="s">
        <v>45</v>
      </c>
      <c r="K302" s="79" t="s">
        <v>2120</v>
      </c>
      <c r="L302" s="93" t="s">
        <v>2172</v>
      </c>
      <c r="M302" s="83">
        <f t="shared" si="1"/>
        <v>250</v>
      </c>
      <c r="N302" s="84">
        <v>250.0</v>
      </c>
      <c r="O302" s="84">
        <v>0.0</v>
      </c>
      <c r="P302" s="84">
        <v>0.0</v>
      </c>
      <c r="Q302" s="94">
        <v>3966.0</v>
      </c>
      <c r="R302" s="94">
        <v>784.0</v>
      </c>
      <c r="S302" s="95" t="s">
        <v>2130</v>
      </c>
      <c r="T302" s="94">
        <v>1.0</v>
      </c>
      <c r="U302" s="96" t="s">
        <v>2173</v>
      </c>
      <c r="V302" s="97" t="s">
        <v>2174</v>
      </c>
      <c r="W302" s="97" t="s">
        <v>2175</v>
      </c>
      <c r="X302" s="79" t="s">
        <v>2176</v>
      </c>
      <c r="Y302" s="98"/>
      <c r="Z302" s="98"/>
      <c r="AA302" s="98"/>
      <c r="AB302" s="98"/>
      <c r="AC302" s="98"/>
      <c r="AD302" s="98"/>
      <c r="AE302" s="98"/>
      <c r="AF302" s="98"/>
      <c r="AG302" s="98"/>
      <c r="AH302" s="98"/>
      <c r="AI302" s="98"/>
      <c r="AJ302" s="98"/>
      <c r="AK302" s="98"/>
      <c r="AL302" s="98"/>
      <c r="AM302" s="98"/>
      <c r="AN302" s="98"/>
      <c r="AO302" s="98"/>
      <c r="AP302" s="98"/>
      <c r="AQ302" s="98"/>
      <c r="AR302" s="98"/>
    </row>
    <row r="303" ht="19.5" customHeight="1">
      <c r="A303" s="79">
        <v>292.0</v>
      </c>
      <c r="B303" s="91" t="s">
        <v>31</v>
      </c>
      <c r="C303" s="79" t="s">
        <v>2116</v>
      </c>
      <c r="D303" s="79" t="s">
        <v>2177</v>
      </c>
      <c r="E303" s="102" t="s">
        <v>2178</v>
      </c>
      <c r="F303" s="79" t="s">
        <v>81</v>
      </c>
      <c r="G303" s="80" t="s">
        <v>44</v>
      </c>
      <c r="H303" s="80" t="s">
        <v>21</v>
      </c>
      <c r="I303" s="79" t="s">
        <v>2119</v>
      </c>
      <c r="J303" s="80" t="s">
        <v>45</v>
      </c>
      <c r="K303" s="79" t="s">
        <v>2120</v>
      </c>
      <c r="L303" s="93" t="s">
        <v>2179</v>
      </c>
      <c r="M303" s="83">
        <f t="shared" si="1"/>
        <v>250</v>
      </c>
      <c r="N303" s="84">
        <v>250.0</v>
      </c>
      <c r="O303" s="84">
        <v>0.0</v>
      </c>
      <c r="P303" s="84">
        <v>0.0</v>
      </c>
      <c r="Q303" s="94">
        <v>1630.0</v>
      </c>
      <c r="R303" s="94">
        <v>870.45</v>
      </c>
      <c r="S303" s="95" t="s">
        <v>1247</v>
      </c>
      <c r="T303" s="94">
        <v>1.0</v>
      </c>
      <c r="U303" s="96" t="s">
        <v>2180</v>
      </c>
      <c r="V303" s="97" t="s">
        <v>2181</v>
      </c>
      <c r="W303" s="97" t="s">
        <v>2182</v>
      </c>
      <c r="X303" s="79" t="s">
        <v>2183</v>
      </c>
      <c r="Y303" s="98"/>
      <c r="Z303" s="98"/>
      <c r="AA303" s="98"/>
      <c r="AB303" s="98"/>
      <c r="AC303" s="98"/>
      <c r="AD303" s="98"/>
      <c r="AE303" s="98"/>
      <c r="AF303" s="98"/>
      <c r="AG303" s="98"/>
      <c r="AH303" s="98"/>
      <c r="AI303" s="98"/>
      <c r="AJ303" s="98"/>
      <c r="AK303" s="98"/>
      <c r="AL303" s="98"/>
      <c r="AM303" s="98"/>
      <c r="AN303" s="98"/>
      <c r="AO303" s="98"/>
      <c r="AP303" s="98"/>
      <c r="AQ303" s="98"/>
      <c r="AR303" s="98"/>
    </row>
    <row r="304" ht="19.5" customHeight="1">
      <c r="A304" s="79">
        <v>293.0</v>
      </c>
      <c r="B304" s="91" t="s">
        <v>31</v>
      </c>
      <c r="C304" s="79" t="s">
        <v>2116</v>
      </c>
      <c r="D304" s="79" t="s">
        <v>2057</v>
      </c>
      <c r="E304" s="102" t="s">
        <v>2184</v>
      </c>
      <c r="F304" s="79" t="s">
        <v>81</v>
      </c>
      <c r="G304" s="80" t="s">
        <v>44</v>
      </c>
      <c r="H304" s="80" t="s">
        <v>21</v>
      </c>
      <c r="I304" s="79" t="s">
        <v>2119</v>
      </c>
      <c r="J304" s="80" t="s">
        <v>45</v>
      </c>
      <c r="K304" s="79" t="s">
        <v>2120</v>
      </c>
      <c r="L304" s="93" t="s">
        <v>2185</v>
      </c>
      <c r="M304" s="83">
        <f t="shared" si="1"/>
        <v>150</v>
      </c>
      <c r="N304" s="84">
        <v>150.0</v>
      </c>
      <c r="O304" s="84">
        <v>0.0</v>
      </c>
      <c r="P304" s="84">
        <v>0.0</v>
      </c>
      <c r="Q304" s="94">
        <v>1660.0</v>
      </c>
      <c r="R304" s="94">
        <v>1074.0</v>
      </c>
      <c r="S304" s="95" t="s">
        <v>2122</v>
      </c>
      <c r="T304" s="94">
        <v>1.0</v>
      </c>
      <c r="U304" s="96" t="s">
        <v>2186</v>
      </c>
      <c r="V304" s="97" t="s">
        <v>2187</v>
      </c>
      <c r="W304" s="97" t="s">
        <v>2188</v>
      </c>
      <c r="X304" s="79" t="s">
        <v>2189</v>
      </c>
      <c r="Y304" s="98"/>
      <c r="Z304" s="98"/>
      <c r="AA304" s="98"/>
      <c r="AB304" s="98"/>
      <c r="AC304" s="98"/>
      <c r="AD304" s="98"/>
      <c r="AE304" s="98"/>
      <c r="AF304" s="98"/>
      <c r="AG304" s="98"/>
      <c r="AH304" s="98"/>
      <c r="AI304" s="98"/>
      <c r="AJ304" s="98"/>
      <c r="AK304" s="98"/>
      <c r="AL304" s="98"/>
      <c r="AM304" s="98"/>
      <c r="AN304" s="98"/>
      <c r="AO304" s="98"/>
      <c r="AP304" s="98"/>
      <c r="AQ304" s="98"/>
      <c r="AR304" s="98"/>
    </row>
    <row r="305" ht="19.5" customHeight="1">
      <c r="A305" s="79">
        <v>294.0</v>
      </c>
      <c r="B305" s="91" t="s">
        <v>31</v>
      </c>
      <c r="C305" s="91" t="s">
        <v>2190</v>
      </c>
      <c r="D305" s="91" t="s">
        <v>2191</v>
      </c>
      <c r="E305" s="92" t="s">
        <v>2192</v>
      </c>
      <c r="F305" s="91" t="s">
        <v>81</v>
      </c>
      <c r="G305" s="80" t="s">
        <v>42</v>
      </c>
      <c r="H305" s="80" t="s">
        <v>21</v>
      </c>
      <c r="I305" s="91" t="s">
        <v>2193</v>
      </c>
      <c r="J305" s="80" t="s">
        <v>45</v>
      </c>
      <c r="K305" s="91" t="s">
        <v>2194</v>
      </c>
      <c r="L305" s="82" t="s">
        <v>2195</v>
      </c>
      <c r="M305" s="83">
        <f t="shared" si="1"/>
        <v>801</v>
      </c>
      <c r="N305" s="84">
        <v>801.0</v>
      </c>
      <c r="O305" s="84"/>
      <c r="P305" s="84"/>
      <c r="Q305" s="94">
        <v>23996.0</v>
      </c>
      <c r="R305" s="94">
        <v>6203.0</v>
      </c>
      <c r="S305" s="95" t="s">
        <v>103</v>
      </c>
      <c r="T305" s="94">
        <v>3.0</v>
      </c>
      <c r="U305" s="96">
        <v>38181.0</v>
      </c>
      <c r="V305" s="97" t="s">
        <v>2196</v>
      </c>
      <c r="W305" s="97" t="s">
        <v>2197</v>
      </c>
      <c r="X305" s="79" t="s">
        <v>2198</v>
      </c>
      <c r="Y305" s="98"/>
      <c r="Z305" s="98"/>
      <c r="AA305" s="98"/>
      <c r="AB305" s="98"/>
      <c r="AC305" s="98"/>
      <c r="AD305" s="98"/>
      <c r="AE305" s="98"/>
      <c r="AF305" s="98"/>
      <c r="AG305" s="98"/>
      <c r="AH305" s="98"/>
      <c r="AI305" s="98"/>
      <c r="AJ305" s="98"/>
      <c r="AK305" s="98"/>
      <c r="AL305" s="98"/>
      <c r="AM305" s="98"/>
      <c r="AN305" s="98"/>
      <c r="AO305" s="98"/>
      <c r="AP305" s="98"/>
      <c r="AQ305" s="98"/>
      <c r="AR305" s="98"/>
    </row>
    <row r="306" ht="19.5" customHeight="1">
      <c r="A306" s="79">
        <v>295.0</v>
      </c>
      <c r="B306" s="91" t="s">
        <v>31</v>
      </c>
      <c r="C306" s="91" t="s">
        <v>2190</v>
      </c>
      <c r="D306" s="91" t="s">
        <v>2199</v>
      </c>
      <c r="E306" s="92" t="s">
        <v>2200</v>
      </c>
      <c r="F306" s="91" t="s">
        <v>81</v>
      </c>
      <c r="G306" s="80" t="s">
        <v>44</v>
      </c>
      <c r="H306" s="80" t="s">
        <v>21</v>
      </c>
      <c r="I306" s="91" t="s">
        <v>2193</v>
      </c>
      <c r="J306" s="80" t="s">
        <v>45</v>
      </c>
      <c r="K306" s="91" t="s">
        <v>2194</v>
      </c>
      <c r="L306" s="82" t="s">
        <v>2201</v>
      </c>
      <c r="M306" s="83">
        <f t="shared" si="1"/>
        <v>79</v>
      </c>
      <c r="N306" s="84">
        <v>79.0</v>
      </c>
      <c r="O306" s="84"/>
      <c r="P306" s="84"/>
      <c r="Q306" s="94">
        <v>527.5</v>
      </c>
      <c r="R306" s="94">
        <v>509.0</v>
      </c>
      <c r="S306" s="95" t="s">
        <v>314</v>
      </c>
      <c r="T306" s="94">
        <v>1.0</v>
      </c>
      <c r="U306" s="96">
        <v>38775.0</v>
      </c>
      <c r="V306" s="97" t="s">
        <v>2202</v>
      </c>
      <c r="W306" s="97" t="s">
        <v>2203</v>
      </c>
      <c r="X306" s="79" t="s">
        <v>2204</v>
      </c>
      <c r="Y306" s="98"/>
      <c r="Z306" s="98"/>
      <c r="AA306" s="98"/>
      <c r="AB306" s="98"/>
      <c r="AC306" s="98"/>
      <c r="AD306" s="98"/>
      <c r="AE306" s="98"/>
      <c r="AF306" s="98"/>
      <c r="AG306" s="98"/>
      <c r="AH306" s="98"/>
      <c r="AI306" s="98"/>
      <c r="AJ306" s="98"/>
      <c r="AK306" s="98"/>
      <c r="AL306" s="98"/>
      <c r="AM306" s="98"/>
      <c r="AN306" s="98"/>
      <c r="AO306" s="98"/>
      <c r="AP306" s="98"/>
      <c r="AQ306" s="98"/>
      <c r="AR306" s="98"/>
    </row>
    <row r="307" ht="19.5" customHeight="1">
      <c r="A307" s="79">
        <v>296.0</v>
      </c>
      <c r="B307" s="91" t="s">
        <v>31</v>
      </c>
      <c r="C307" s="95" t="s">
        <v>2190</v>
      </c>
      <c r="D307" s="95" t="s">
        <v>2205</v>
      </c>
      <c r="E307" s="100" t="s">
        <v>2206</v>
      </c>
      <c r="F307" s="91" t="s">
        <v>81</v>
      </c>
      <c r="G307" s="80" t="s">
        <v>44</v>
      </c>
      <c r="H307" s="80" t="s">
        <v>21</v>
      </c>
      <c r="I307" s="95" t="s">
        <v>2193</v>
      </c>
      <c r="J307" s="80" t="s">
        <v>45</v>
      </c>
      <c r="K307" s="91" t="s">
        <v>2194</v>
      </c>
      <c r="L307" s="82" t="s">
        <v>2207</v>
      </c>
      <c r="M307" s="83">
        <f t="shared" si="1"/>
        <v>100</v>
      </c>
      <c r="N307" s="84">
        <v>100.0</v>
      </c>
      <c r="O307" s="84"/>
      <c r="P307" s="84"/>
      <c r="Q307" s="94"/>
      <c r="R307" s="94">
        <v>281.0</v>
      </c>
      <c r="S307" s="95" t="s">
        <v>704</v>
      </c>
      <c r="T307" s="94">
        <v>1.0</v>
      </c>
      <c r="U307" s="96">
        <v>42004.0</v>
      </c>
      <c r="V307" s="97" t="s">
        <v>2208</v>
      </c>
      <c r="W307" s="97" t="s">
        <v>2209</v>
      </c>
      <c r="X307" s="79" t="s">
        <v>2210</v>
      </c>
      <c r="Y307" s="98"/>
      <c r="Z307" s="98"/>
      <c r="AA307" s="98"/>
      <c r="AB307" s="98"/>
      <c r="AC307" s="98"/>
      <c r="AD307" s="98"/>
      <c r="AE307" s="98"/>
      <c r="AF307" s="98"/>
      <c r="AG307" s="98"/>
      <c r="AH307" s="98"/>
      <c r="AI307" s="98"/>
      <c r="AJ307" s="98"/>
      <c r="AK307" s="98"/>
      <c r="AL307" s="98"/>
      <c r="AM307" s="98"/>
      <c r="AN307" s="98"/>
      <c r="AO307" s="98"/>
      <c r="AP307" s="98"/>
      <c r="AQ307" s="98"/>
      <c r="AR307" s="98"/>
    </row>
    <row r="308" ht="19.5" customHeight="1">
      <c r="A308" s="79">
        <v>297.0</v>
      </c>
      <c r="B308" s="91" t="s">
        <v>31</v>
      </c>
      <c r="C308" s="91" t="s">
        <v>2190</v>
      </c>
      <c r="D308" s="91" t="s">
        <v>2211</v>
      </c>
      <c r="E308" s="92" t="s">
        <v>2212</v>
      </c>
      <c r="F308" s="91" t="s">
        <v>81</v>
      </c>
      <c r="G308" s="80" t="s">
        <v>44</v>
      </c>
      <c r="H308" s="80" t="s">
        <v>21</v>
      </c>
      <c r="I308" s="91" t="s">
        <v>2193</v>
      </c>
      <c r="J308" s="80" t="s">
        <v>45</v>
      </c>
      <c r="K308" s="91" t="s">
        <v>2194</v>
      </c>
      <c r="L308" s="82" t="s">
        <v>2213</v>
      </c>
      <c r="M308" s="83">
        <f t="shared" si="1"/>
        <v>382</v>
      </c>
      <c r="N308" s="84">
        <v>382.0</v>
      </c>
      <c r="O308" s="84"/>
      <c r="P308" s="84"/>
      <c r="Q308" s="94">
        <v>1868.0</v>
      </c>
      <c r="R308" s="94">
        <v>1155.0</v>
      </c>
      <c r="S308" s="95" t="s">
        <v>103</v>
      </c>
      <c r="T308" s="94">
        <v>1.0</v>
      </c>
      <c r="U308" s="96">
        <v>40190.0</v>
      </c>
      <c r="V308" s="97" t="s">
        <v>2214</v>
      </c>
      <c r="W308" s="97" t="s">
        <v>2215</v>
      </c>
      <c r="X308" s="79" t="s">
        <v>2216</v>
      </c>
      <c r="Y308" s="98"/>
      <c r="Z308" s="98"/>
      <c r="AA308" s="98"/>
      <c r="AB308" s="98"/>
      <c r="AC308" s="98"/>
      <c r="AD308" s="98"/>
      <c r="AE308" s="98"/>
      <c r="AF308" s="98"/>
      <c r="AG308" s="98"/>
      <c r="AH308" s="98"/>
      <c r="AI308" s="98"/>
      <c r="AJ308" s="98"/>
      <c r="AK308" s="98"/>
      <c r="AL308" s="98"/>
      <c r="AM308" s="98"/>
      <c r="AN308" s="98"/>
      <c r="AO308" s="98"/>
      <c r="AP308" s="98"/>
      <c r="AQ308" s="98"/>
      <c r="AR308" s="98"/>
    </row>
    <row r="309" ht="19.5" customHeight="1">
      <c r="A309" s="79">
        <v>298.0</v>
      </c>
      <c r="B309" s="91" t="s">
        <v>31</v>
      </c>
      <c r="C309" s="95" t="s">
        <v>2190</v>
      </c>
      <c r="D309" s="95" t="s">
        <v>2211</v>
      </c>
      <c r="E309" s="100" t="s">
        <v>2217</v>
      </c>
      <c r="F309" s="95" t="s">
        <v>81</v>
      </c>
      <c r="G309" s="80" t="s">
        <v>44</v>
      </c>
      <c r="H309" s="80" t="s">
        <v>21</v>
      </c>
      <c r="I309" s="95" t="s">
        <v>2193</v>
      </c>
      <c r="J309" s="80" t="s">
        <v>45</v>
      </c>
      <c r="K309" s="91" t="s">
        <v>2194</v>
      </c>
      <c r="L309" s="82" t="s">
        <v>2218</v>
      </c>
      <c r="M309" s="83">
        <f t="shared" si="1"/>
        <v>160</v>
      </c>
      <c r="N309" s="84">
        <v>160.0</v>
      </c>
      <c r="O309" s="84"/>
      <c r="P309" s="84"/>
      <c r="Q309" s="94">
        <v>5474.0</v>
      </c>
      <c r="R309" s="94">
        <v>652.0</v>
      </c>
      <c r="S309" s="95" t="s">
        <v>2219</v>
      </c>
      <c r="T309" s="94">
        <v>1.0</v>
      </c>
      <c r="U309" s="96">
        <v>36554.0</v>
      </c>
      <c r="V309" s="97" t="s">
        <v>2220</v>
      </c>
      <c r="W309" s="97" t="s">
        <v>2221</v>
      </c>
      <c r="X309" s="79" t="s">
        <v>2222</v>
      </c>
      <c r="Y309" s="98"/>
      <c r="Z309" s="98"/>
      <c r="AA309" s="98"/>
      <c r="AB309" s="98"/>
      <c r="AC309" s="98"/>
      <c r="AD309" s="98"/>
      <c r="AE309" s="98"/>
      <c r="AF309" s="98"/>
      <c r="AG309" s="98"/>
      <c r="AH309" s="98"/>
      <c r="AI309" s="98"/>
      <c r="AJ309" s="98"/>
      <c r="AK309" s="98"/>
      <c r="AL309" s="98"/>
      <c r="AM309" s="98"/>
      <c r="AN309" s="98"/>
      <c r="AO309" s="98"/>
      <c r="AP309" s="98"/>
      <c r="AQ309" s="98"/>
      <c r="AR309" s="98"/>
    </row>
    <row r="310" ht="19.5" customHeight="1">
      <c r="A310" s="79">
        <v>299.0</v>
      </c>
      <c r="B310" s="91" t="s">
        <v>31</v>
      </c>
      <c r="C310" s="91" t="s">
        <v>2190</v>
      </c>
      <c r="D310" s="91" t="s">
        <v>2223</v>
      </c>
      <c r="E310" s="92" t="s">
        <v>2224</v>
      </c>
      <c r="F310" s="91" t="s">
        <v>1807</v>
      </c>
      <c r="G310" s="80" t="s">
        <v>46</v>
      </c>
      <c r="H310" s="80" t="s">
        <v>21</v>
      </c>
      <c r="I310" s="91" t="s">
        <v>1808</v>
      </c>
      <c r="J310" s="80" t="s">
        <v>45</v>
      </c>
      <c r="K310" s="91" t="s">
        <v>1809</v>
      </c>
      <c r="L310" s="82" t="s">
        <v>2225</v>
      </c>
      <c r="M310" s="83">
        <f t="shared" si="1"/>
        <v>853</v>
      </c>
      <c r="N310" s="84"/>
      <c r="O310" s="84">
        <v>412.0</v>
      </c>
      <c r="P310" s="84">
        <v>441.0</v>
      </c>
      <c r="Q310" s="94">
        <v>300027.0</v>
      </c>
      <c r="R310" s="94">
        <v>10428.0</v>
      </c>
      <c r="S310" s="95" t="s">
        <v>194</v>
      </c>
      <c r="T310" s="94">
        <v>14.0</v>
      </c>
      <c r="U310" s="96">
        <v>37329.0</v>
      </c>
      <c r="V310" s="97" t="s">
        <v>2226</v>
      </c>
      <c r="W310" s="97" t="s">
        <v>2227</v>
      </c>
      <c r="X310" s="79" t="s">
        <v>1813</v>
      </c>
      <c r="Y310" s="98"/>
      <c r="Z310" s="98"/>
      <c r="AA310" s="98"/>
      <c r="AB310" s="98"/>
      <c r="AC310" s="98"/>
      <c r="AD310" s="98"/>
      <c r="AE310" s="98"/>
      <c r="AF310" s="98"/>
      <c r="AG310" s="98"/>
      <c r="AH310" s="98"/>
      <c r="AI310" s="98"/>
      <c r="AJ310" s="98"/>
      <c r="AK310" s="98"/>
      <c r="AL310" s="98"/>
      <c r="AM310" s="98"/>
      <c r="AN310" s="98"/>
      <c r="AO310" s="98"/>
      <c r="AP310" s="98"/>
      <c r="AQ310" s="98"/>
      <c r="AR310" s="98"/>
    </row>
    <row r="311" ht="19.5" customHeight="1">
      <c r="A311" s="79">
        <v>300.0</v>
      </c>
      <c r="B311" s="91" t="s">
        <v>31</v>
      </c>
      <c r="C311" s="91" t="s">
        <v>2190</v>
      </c>
      <c r="D311" s="91" t="s">
        <v>2228</v>
      </c>
      <c r="E311" s="92" t="s">
        <v>2229</v>
      </c>
      <c r="F311" s="91" t="s">
        <v>22</v>
      </c>
      <c r="G311" s="80" t="s">
        <v>12</v>
      </c>
      <c r="H311" s="80" t="s">
        <v>22</v>
      </c>
      <c r="I311" s="91" t="s">
        <v>2230</v>
      </c>
      <c r="J311" s="80" t="s">
        <v>43</v>
      </c>
      <c r="K311" s="91" t="s">
        <v>2231</v>
      </c>
      <c r="L311" s="82" t="s">
        <v>2232</v>
      </c>
      <c r="M311" s="83">
        <f t="shared" si="1"/>
        <v>105</v>
      </c>
      <c r="N311" s="84">
        <v>0.0</v>
      </c>
      <c r="O311" s="84">
        <v>105.0</v>
      </c>
      <c r="P311" s="84">
        <v>0.0</v>
      </c>
      <c r="Q311" s="94">
        <v>38800.0</v>
      </c>
      <c r="R311" s="94">
        <v>7377.83</v>
      </c>
      <c r="S311" s="95" t="s">
        <v>350</v>
      </c>
      <c r="T311" s="94">
        <v>3.0</v>
      </c>
      <c r="U311" s="96">
        <v>41325.0</v>
      </c>
      <c r="V311" s="97" t="s">
        <v>2233</v>
      </c>
      <c r="W311" s="97" t="s">
        <v>2234</v>
      </c>
      <c r="X311" s="79" t="s">
        <v>2235</v>
      </c>
      <c r="Y311" s="98"/>
      <c r="Z311" s="98"/>
      <c r="AA311" s="98"/>
      <c r="AB311" s="98"/>
      <c r="AC311" s="98"/>
      <c r="AD311" s="98"/>
      <c r="AE311" s="98"/>
      <c r="AF311" s="98"/>
      <c r="AG311" s="98"/>
      <c r="AH311" s="98"/>
      <c r="AI311" s="98"/>
      <c r="AJ311" s="98"/>
      <c r="AK311" s="98"/>
      <c r="AL311" s="98"/>
      <c r="AM311" s="98"/>
      <c r="AN311" s="98"/>
      <c r="AO311" s="98"/>
      <c r="AP311" s="98"/>
      <c r="AQ311" s="98"/>
      <c r="AR311" s="98"/>
    </row>
    <row r="312" ht="19.5" customHeight="1">
      <c r="A312" s="79">
        <v>301.0</v>
      </c>
      <c r="B312" s="91" t="s">
        <v>31</v>
      </c>
      <c r="C312" s="91" t="s">
        <v>2190</v>
      </c>
      <c r="D312" s="91" t="s">
        <v>2236</v>
      </c>
      <c r="E312" s="92" t="s">
        <v>2237</v>
      </c>
      <c r="F312" s="91" t="s">
        <v>81</v>
      </c>
      <c r="G312" s="80" t="s">
        <v>42</v>
      </c>
      <c r="H312" s="80" t="s">
        <v>21</v>
      </c>
      <c r="I312" s="91" t="s">
        <v>2193</v>
      </c>
      <c r="J312" s="80" t="s">
        <v>45</v>
      </c>
      <c r="K312" s="91" t="s">
        <v>2194</v>
      </c>
      <c r="L312" s="82" t="s">
        <v>2238</v>
      </c>
      <c r="M312" s="83">
        <f t="shared" si="1"/>
        <v>616</v>
      </c>
      <c r="N312" s="84">
        <v>616.0</v>
      </c>
      <c r="O312" s="84"/>
      <c r="P312" s="84"/>
      <c r="Q312" s="94">
        <v>10000.0</v>
      </c>
      <c r="R312" s="94">
        <v>4865.02</v>
      </c>
      <c r="S312" s="95" t="s">
        <v>380</v>
      </c>
      <c r="T312" s="94">
        <v>1.0</v>
      </c>
      <c r="U312" s="96">
        <v>43566.0</v>
      </c>
      <c r="V312" s="97" t="s">
        <v>2239</v>
      </c>
      <c r="W312" s="97" t="s">
        <v>2240</v>
      </c>
      <c r="X312" s="79" t="s">
        <v>2241</v>
      </c>
      <c r="Y312" s="98"/>
      <c r="Z312" s="98"/>
      <c r="AA312" s="98"/>
      <c r="AB312" s="98"/>
      <c r="AC312" s="98"/>
      <c r="AD312" s="98"/>
      <c r="AE312" s="98"/>
      <c r="AF312" s="98"/>
      <c r="AG312" s="98"/>
      <c r="AH312" s="98"/>
      <c r="AI312" s="98"/>
      <c r="AJ312" s="98"/>
      <c r="AK312" s="98"/>
      <c r="AL312" s="98"/>
      <c r="AM312" s="98"/>
      <c r="AN312" s="98"/>
      <c r="AO312" s="98"/>
      <c r="AP312" s="98"/>
      <c r="AQ312" s="98"/>
      <c r="AR312" s="98"/>
    </row>
    <row r="313" ht="19.5" customHeight="1">
      <c r="A313" s="79">
        <v>302.0</v>
      </c>
      <c r="B313" s="91" t="s">
        <v>31</v>
      </c>
      <c r="C313" s="91" t="s">
        <v>2242</v>
      </c>
      <c r="D313" s="91" t="s">
        <v>2243</v>
      </c>
      <c r="E313" s="92" t="s">
        <v>2244</v>
      </c>
      <c r="F313" s="91" t="s">
        <v>22</v>
      </c>
      <c r="G313" s="80" t="s">
        <v>46</v>
      </c>
      <c r="H313" s="80" t="s">
        <v>22</v>
      </c>
      <c r="I313" s="91" t="s">
        <v>2245</v>
      </c>
      <c r="J313" s="80" t="s">
        <v>43</v>
      </c>
      <c r="K313" s="91" t="s">
        <v>2246</v>
      </c>
      <c r="L313" s="82" t="s">
        <v>2247</v>
      </c>
      <c r="M313" s="83">
        <f t="shared" si="1"/>
        <v>764</v>
      </c>
      <c r="N313" s="84"/>
      <c r="O313" s="84">
        <v>564.0</v>
      </c>
      <c r="P313" s="84">
        <v>200.0</v>
      </c>
      <c r="Q313" s="94">
        <v>51150.0</v>
      </c>
      <c r="R313" s="94">
        <v>7052.0</v>
      </c>
      <c r="S313" s="95" t="s">
        <v>2248</v>
      </c>
      <c r="T313" s="94">
        <v>57.0</v>
      </c>
      <c r="U313" s="96">
        <v>34174.0</v>
      </c>
      <c r="V313" s="97" t="s">
        <v>2249</v>
      </c>
      <c r="W313" s="97" t="s">
        <v>2250</v>
      </c>
      <c r="X313" s="79" t="s">
        <v>2251</v>
      </c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  <c r="AQ313" s="88"/>
      <c r="AR313" s="88"/>
    </row>
    <row r="314" ht="19.5" customHeight="1">
      <c r="A314" s="79">
        <v>303.0</v>
      </c>
      <c r="B314" s="91" t="s">
        <v>31</v>
      </c>
      <c r="C314" s="95" t="s">
        <v>2242</v>
      </c>
      <c r="D314" s="95" t="s">
        <v>2252</v>
      </c>
      <c r="E314" s="100" t="s">
        <v>2253</v>
      </c>
      <c r="F314" s="95" t="s">
        <v>81</v>
      </c>
      <c r="G314" s="80" t="s">
        <v>48</v>
      </c>
      <c r="H314" s="80" t="s">
        <v>21</v>
      </c>
      <c r="I314" s="95" t="s">
        <v>2254</v>
      </c>
      <c r="J314" s="80" t="s">
        <v>43</v>
      </c>
      <c r="K314" s="95" t="s">
        <v>2242</v>
      </c>
      <c r="L314" s="82" t="s">
        <v>2255</v>
      </c>
      <c r="M314" s="83">
        <f t="shared" si="1"/>
        <v>300</v>
      </c>
      <c r="N314" s="84">
        <v>0.0</v>
      </c>
      <c r="O314" s="84">
        <v>150.0</v>
      </c>
      <c r="P314" s="84">
        <v>150.0</v>
      </c>
      <c r="Q314" s="94">
        <v>22587.0</v>
      </c>
      <c r="R314" s="94">
        <v>215.03</v>
      </c>
      <c r="S314" s="95" t="s">
        <v>2256</v>
      </c>
      <c r="T314" s="94">
        <v>1.0</v>
      </c>
      <c r="U314" s="96">
        <v>43292.0</v>
      </c>
      <c r="V314" s="97" t="s">
        <v>2257</v>
      </c>
      <c r="W314" s="97" t="s">
        <v>2258</v>
      </c>
      <c r="X314" s="79" t="s">
        <v>2259</v>
      </c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  <c r="AQ314" s="88"/>
      <c r="AR314" s="88"/>
    </row>
    <row r="315" ht="19.5" customHeight="1">
      <c r="A315" s="79">
        <v>304.0</v>
      </c>
      <c r="B315" s="91" t="s">
        <v>31</v>
      </c>
      <c r="C315" s="95" t="s">
        <v>2242</v>
      </c>
      <c r="D315" s="95" t="s">
        <v>2252</v>
      </c>
      <c r="E315" s="100" t="s">
        <v>2260</v>
      </c>
      <c r="F315" s="95" t="s">
        <v>81</v>
      </c>
      <c r="G315" s="80" t="s">
        <v>44</v>
      </c>
      <c r="H315" s="80" t="s">
        <v>21</v>
      </c>
      <c r="I315" s="95" t="s">
        <v>2254</v>
      </c>
      <c r="J315" s="80" t="s">
        <v>45</v>
      </c>
      <c r="K315" s="95" t="s">
        <v>2261</v>
      </c>
      <c r="L315" s="82" t="s">
        <v>2262</v>
      </c>
      <c r="M315" s="83">
        <f t="shared" si="1"/>
        <v>80</v>
      </c>
      <c r="N315" s="84">
        <v>80.0</v>
      </c>
      <c r="O315" s="84"/>
      <c r="P315" s="84"/>
      <c r="Q315" s="94">
        <v>984.0</v>
      </c>
      <c r="R315" s="94">
        <v>536.31</v>
      </c>
      <c r="S315" s="95" t="s">
        <v>2256</v>
      </c>
      <c r="T315" s="94">
        <v>1.0</v>
      </c>
      <c r="U315" s="96">
        <v>44438.0</v>
      </c>
      <c r="V315" s="97" t="s">
        <v>2263</v>
      </c>
      <c r="W315" s="97" t="s">
        <v>2264</v>
      </c>
      <c r="X315" s="79" t="s">
        <v>2265</v>
      </c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  <c r="AQ315" s="88"/>
      <c r="AR315" s="88"/>
    </row>
    <row r="316" ht="19.5" customHeight="1">
      <c r="A316" s="79">
        <v>305.0</v>
      </c>
      <c r="B316" s="91" t="s">
        <v>31</v>
      </c>
      <c r="C316" s="79" t="s">
        <v>2242</v>
      </c>
      <c r="D316" s="79" t="s">
        <v>2266</v>
      </c>
      <c r="E316" s="102" t="s">
        <v>2267</v>
      </c>
      <c r="F316" s="79" t="s">
        <v>81</v>
      </c>
      <c r="G316" s="80" t="s">
        <v>42</v>
      </c>
      <c r="H316" s="80" t="s">
        <v>21</v>
      </c>
      <c r="I316" s="79" t="s">
        <v>2254</v>
      </c>
      <c r="J316" s="80" t="s">
        <v>45</v>
      </c>
      <c r="K316" s="79" t="s">
        <v>2268</v>
      </c>
      <c r="L316" s="93" t="s">
        <v>2269</v>
      </c>
      <c r="M316" s="83">
        <f t="shared" si="1"/>
        <v>240</v>
      </c>
      <c r="N316" s="84">
        <v>240.0</v>
      </c>
      <c r="O316" s="84"/>
      <c r="P316" s="84"/>
      <c r="Q316" s="94">
        <v>3036.0</v>
      </c>
      <c r="R316" s="94">
        <v>7104.06</v>
      </c>
      <c r="S316" s="95" t="s">
        <v>2270</v>
      </c>
      <c r="T316" s="94">
        <v>1.0</v>
      </c>
      <c r="U316" s="96">
        <v>45474.0</v>
      </c>
      <c r="V316" s="97" t="s">
        <v>2271</v>
      </c>
      <c r="W316" s="97" t="s">
        <v>2272</v>
      </c>
      <c r="X316" s="79" t="s">
        <v>2273</v>
      </c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  <c r="AQ316" s="88"/>
      <c r="AR316" s="88"/>
    </row>
    <row r="317" ht="19.5" customHeight="1">
      <c r="A317" s="79">
        <v>306.0</v>
      </c>
      <c r="B317" s="91" t="s">
        <v>31</v>
      </c>
      <c r="C317" s="79" t="s">
        <v>2274</v>
      </c>
      <c r="D317" s="79" t="s">
        <v>2275</v>
      </c>
      <c r="E317" s="102" t="s">
        <v>2276</v>
      </c>
      <c r="F317" s="79" t="s">
        <v>81</v>
      </c>
      <c r="G317" s="80" t="s">
        <v>42</v>
      </c>
      <c r="H317" s="80" t="s">
        <v>21</v>
      </c>
      <c r="I317" s="79" t="s">
        <v>2277</v>
      </c>
      <c r="J317" s="80" t="s">
        <v>45</v>
      </c>
      <c r="K317" s="79" t="s">
        <v>2278</v>
      </c>
      <c r="L317" s="93" t="s">
        <v>2279</v>
      </c>
      <c r="M317" s="83">
        <f t="shared" si="1"/>
        <v>810</v>
      </c>
      <c r="N317" s="84">
        <v>810.0</v>
      </c>
      <c r="O317" s="84">
        <v>0.0</v>
      </c>
      <c r="P317" s="84">
        <v>0.0</v>
      </c>
      <c r="Q317" s="94">
        <v>3300.0</v>
      </c>
      <c r="R317" s="94">
        <v>14010.71</v>
      </c>
      <c r="S317" s="95" t="s">
        <v>2280</v>
      </c>
      <c r="T317" s="94">
        <v>1.0</v>
      </c>
      <c r="U317" s="96">
        <v>36192.0</v>
      </c>
      <c r="V317" s="97" t="s">
        <v>2281</v>
      </c>
      <c r="W317" s="97" t="s">
        <v>2282</v>
      </c>
      <c r="X317" s="79" t="s">
        <v>2283</v>
      </c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  <c r="AQ317" s="88"/>
      <c r="AR317" s="88"/>
    </row>
    <row r="318" ht="19.5" customHeight="1">
      <c r="A318" s="79">
        <v>307.0</v>
      </c>
      <c r="B318" s="91" t="s">
        <v>31</v>
      </c>
      <c r="C318" s="91" t="s">
        <v>2274</v>
      </c>
      <c r="D318" s="91" t="s">
        <v>2284</v>
      </c>
      <c r="E318" s="92" t="s">
        <v>2285</v>
      </c>
      <c r="F318" s="91" t="s">
        <v>81</v>
      </c>
      <c r="G318" s="80" t="s">
        <v>44</v>
      </c>
      <c r="H318" s="80" t="s">
        <v>21</v>
      </c>
      <c r="I318" s="91" t="s">
        <v>2277</v>
      </c>
      <c r="J318" s="80" t="s">
        <v>45</v>
      </c>
      <c r="K318" s="91" t="s">
        <v>2278</v>
      </c>
      <c r="L318" s="82" t="s">
        <v>2286</v>
      </c>
      <c r="M318" s="83">
        <f t="shared" si="1"/>
        <v>150</v>
      </c>
      <c r="N318" s="84">
        <v>150.0</v>
      </c>
      <c r="O318" s="84">
        <v>0.0</v>
      </c>
      <c r="P318" s="84">
        <v>0.0</v>
      </c>
      <c r="Q318" s="94">
        <v>867.19</v>
      </c>
      <c r="R318" s="94">
        <v>867.19</v>
      </c>
      <c r="S318" s="95" t="s">
        <v>2287</v>
      </c>
      <c r="T318" s="94">
        <v>1.0</v>
      </c>
      <c r="U318" s="96">
        <v>42045.0</v>
      </c>
      <c r="V318" s="97" t="s">
        <v>2288</v>
      </c>
      <c r="W318" s="97" t="s">
        <v>2289</v>
      </c>
      <c r="X318" s="79" t="s">
        <v>2290</v>
      </c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  <c r="AQ318" s="88"/>
      <c r="AR318" s="88"/>
    </row>
    <row r="319" ht="19.5" customHeight="1">
      <c r="A319" s="79">
        <v>308.0</v>
      </c>
      <c r="B319" s="91" t="s">
        <v>31</v>
      </c>
      <c r="C319" s="91" t="s">
        <v>2274</v>
      </c>
      <c r="D319" s="91" t="s">
        <v>2291</v>
      </c>
      <c r="E319" s="92" t="s">
        <v>2292</v>
      </c>
      <c r="F319" s="91" t="s">
        <v>81</v>
      </c>
      <c r="G319" s="80" t="s">
        <v>42</v>
      </c>
      <c r="H319" s="80" t="s">
        <v>21</v>
      </c>
      <c r="I319" s="91" t="s">
        <v>2277</v>
      </c>
      <c r="J319" s="80" t="s">
        <v>45</v>
      </c>
      <c r="K319" s="91" t="s">
        <v>2278</v>
      </c>
      <c r="L319" s="82" t="s">
        <v>2293</v>
      </c>
      <c r="M319" s="83">
        <f t="shared" si="1"/>
        <v>800</v>
      </c>
      <c r="N319" s="84">
        <v>800.0</v>
      </c>
      <c r="O319" s="84">
        <v>0.0</v>
      </c>
      <c r="P319" s="84">
        <v>0.0</v>
      </c>
      <c r="Q319" s="94">
        <v>11365.0</v>
      </c>
      <c r="R319" s="94">
        <v>13636.0</v>
      </c>
      <c r="S319" s="95" t="s">
        <v>194</v>
      </c>
      <c r="T319" s="94">
        <v>1.0</v>
      </c>
      <c r="U319" s="96">
        <v>39836.0</v>
      </c>
      <c r="V319" s="97" t="s">
        <v>2294</v>
      </c>
      <c r="W319" s="97" t="s">
        <v>2295</v>
      </c>
      <c r="X319" s="79" t="s">
        <v>2296</v>
      </c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  <c r="AQ319" s="88"/>
      <c r="AR319" s="88"/>
    </row>
    <row r="320" ht="19.5" customHeight="1">
      <c r="A320" s="79">
        <v>309.0</v>
      </c>
      <c r="B320" s="91" t="s">
        <v>31</v>
      </c>
      <c r="C320" s="91" t="s">
        <v>2274</v>
      </c>
      <c r="D320" s="91" t="s">
        <v>2297</v>
      </c>
      <c r="E320" s="92" t="s">
        <v>2298</v>
      </c>
      <c r="F320" s="91" t="s">
        <v>81</v>
      </c>
      <c r="G320" s="80" t="s">
        <v>44</v>
      </c>
      <c r="H320" s="80" t="s">
        <v>21</v>
      </c>
      <c r="I320" s="91" t="s">
        <v>2277</v>
      </c>
      <c r="J320" s="80" t="s">
        <v>45</v>
      </c>
      <c r="K320" s="91" t="s">
        <v>2278</v>
      </c>
      <c r="L320" s="82" t="s">
        <v>2299</v>
      </c>
      <c r="M320" s="83">
        <f t="shared" si="1"/>
        <v>100</v>
      </c>
      <c r="N320" s="84">
        <v>100.0</v>
      </c>
      <c r="O320" s="84">
        <v>0.0</v>
      </c>
      <c r="P320" s="84">
        <v>0.0</v>
      </c>
      <c r="Q320" s="94">
        <v>530.0</v>
      </c>
      <c r="R320" s="94">
        <v>530.0</v>
      </c>
      <c r="S320" s="95" t="s">
        <v>2300</v>
      </c>
      <c r="T320" s="94">
        <v>1.0</v>
      </c>
      <c r="U320" s="96">
        <v>37991.0</v>
      </c>
      <c r="V320" s="97" t="s">
        <v>2301</v>
      </c>
      <c r="W320" s="97" t="s">
        <v>2302</v>
      </c>
      <c r="X320" s="79" t="s">
        <v>2303</v>
      </c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  <c r="AQ320" s="88"/>
      <c r="AR320" s="88"/>
    </row>
    <row r="321" ht="19.5" customHeight="1">
      <c r="A321" s="79">
        <v>310.0</v>
      </c>
      <c r="B321" s="91" t="s">
        <v>31</v>
      </c>
      <c r="C321" s="91" t="s">
        <v>2274</v>
      </c>
      <c r="D321" s="91" t="s">
        <v>2304</v>
      </c>
      <c r="E321" s="92" t="s">
        <v>2305</v>
      </c>
      <c r="F321" s="91" t="s">
        <v>81</v>
      </c>
      <c r="G321" s="80" t="s">
        <v>44</v>
      </c>
      <c r="H321" s="80" t="s">
        <v>21</v>
      </c>
      <c r="I321" s="91" t="s">
        <v>2277</v>
      </c>
      <c r="J321" s="80" t="s">
        <v>45</v>
      </c>
      <c r="K321" s="91" t="s">
        <v>2278</v>
      </c>
      <c r="L321" s="82" t="s">
        <v>2306</v>
      </c>
      <c r="M321" s="83">
        <f t="shared" si="1"/>
        <v>97</v>
      </c>
      <c r="N321" s="84">
        <v>97.0</v>
      </c>
      <c r="O321" s="84">
        <v>0.0</v>
      </c>
      <c r="P321" s="84">
        <v>0.0</v>
      </c>
      <c r="Q321" s="94">
        <v>331.0</v>
      </c>
      <c r="R321" s="94">
        <v>748.0</v>
      </c>
      <c r="S321" s="95" t="s">
        <v>320</v>
      </c>
      <c r="T321" s="94">
        <v>1.0</v>
      </c>
      <c r="U321" s="96">
        <v>43216.0</v>
      </c>
      <c r="V321" s="97" t="s">
        <v>2307</v>
      </c>
      <c r="W321" s="97" t="s">
        <v>2308</v>
      </c>
      <c r="X321" s="79" t="s">
        <v>2309</v>
      </c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  <c r="AQ321" s="88"/>
      <c r="AR321" s="88"/>
    </row>
    <row r="322" ht="19.5" customHeight="1">
      <c r="A322" s="79">
        <v>311.0</v>
      </c>
      <c r="B322" s="91" t="s">
        <v>31</v>
      </c>
      <c r="C322" s="91" t="s">
        <v>2274</v>
      </c>
      <c r="D322" s="91" t="s">
        <v>2291</v>
      </c>
      <c r="E322" s="92" t="s">
        <v>2310</v>
      </c>
      <c r="F322" s="91" t="s">
        <v>81</v>
      </c>
      <c r="G322" s="80" t="s">
        <v>44</v>
      </c>
      <c r="H322" s="80" t="s">
        <v>21</v>
      </c>
      <c r="I322" s="91" t="s">
        <v>2277</v>
      </c>
      <c r="J322" s="80" t="s">
        <v>45</v>
      </c>
      <c r="K322" s="91" t="s">
        <v>2278</v>
      </c>
      <c r="L322" s="82" t="s">
        <v>2311</v>
      </c>
      <c r="M322" s="83">
        <f t="shared" si="1"/>
        <v>110</v>
      </c>
      <c r="N322" s="84">
        <v>110.0</v>
      </c>
      <c r="O322" s="84">
        <v>0.0</v>
      </c>
      <c r="P322" s="84">
        <v>0.0</v>
      </c>
      <c r="Q322" s="94">
        <v>699.0</v>
      </c>
      <c r="R322" s="94">
        <v>990.76</v>
      </c>
      <c r="S322" s="95" t="s">
        <v>194</v>
      </c>
      <c r="T322" s="94">
        <v>1.0</v>
      </c>
      <c r="U322" s="96">
        <v>45598.0</v>
      </c>
      <c r="V322" s="97" t="s">
        <v>2312</v>
      </c>
      <c r="W322" s="97" t="s">
        <v>2313</v>
      </c>
      <c r="X322" s="79" t="s">
        <v>40</v>
      </c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  <c r="AQ322" s="88"/>
      <c r="AR322" s="88"/>
    </row>
    <row r="323" ht="19.5" customHeight="1">
      <c r="A323" s="79">
        <v>312.0</v>
      </c>
      <c r="B323" s="91" t="s">
        <v>31</v>
      </c>
      <c r="C323" s="91" t="s">
        <v>2274</v>
      </c>
      <c r="D323" s="91" t="s">
        <v>2297</v>
      </c>
      <c r="E323" s="92" t="s">
        <v>2314</v>
      </c>
      <c r="F323" s="91" t="s">
        <v>22</v>
      </c>
      <c r="G323" s="80" t="s">
        <v>12</v>
      </c>
      <c r="H323" s="80" t="s">
        <v>22</v>
      </c>
      <c r="I323" s="91" t="s">
        <v>2315</v>
      </c>
      <c r="J323" s="80" t="s">
        <v>43</v>
      </c>
      <c r="K323" s="91" t="s">
        <v>2316</v>
      </c>
      <c r="L323" s="82" t="s">
        <v>2317</v>
      </c>
      <c r="M323" s="83">
        <f t="shared" si="1"/>
        <v>93</v>
      </c>
      <c r="N323" s="84">
        <v>93.0</v>
      </c>
      <c r="O323" s="84">
        <v>0.0</v>
      </c>
      <c r="P323" s="84">
        <v>0.0</v>
      </c>
      <c r="Q323" s="94">
        <v>1659.8</v>
      </c>
      <c r="R323" s="94">
        <v>810.83</v>
      </c>
      <c r="S323" s="95" t="s">
        <v>2318</v>
      </c>
      <c r="T323" s="94">
        <v>1.0</v>
      </c>
      <c r="U323" s="96">
        <v>45603.0</v>
      </c>
      <c r="V323" s="97" t="s">
        <v>2319</v>
      </c>
      <c r="W323" s="97" t="s">
        <v>2320</v>
      </c>
      <c r="X323" s="79" t="s">
        <v>40</v>
      </c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  <c r="AQ323" s="88"/>
      <c r="AR323" s="88"/>
    </row>
    <row r="324" ht="19.5" customHeight="1">
      <c r="A324" s="79">
        <v>313.0</v>
      </c>
      <c r="B324" s="91" t="s">
        <v>31</v>
      </c>
      <c r="C324" s="91" t="s">
        <v>2274</v>
      </c>
      <c r="D324" s="91" t="s">
        <v>2321</v>
      </c>
      <c r="E324" s="92" t="s">
        <v>2322</v>
      </c>
      <c r="F324" s="91" t="s">
        <v>81</v>
      </c>
      <c r="G324" s="80" t="s">
        <v>44</v>
      </c>
      <c r="H324" s="80" t="s">
        <v>21</v>
      </c>
      <c r="I324" s="91" t="s">
        <v>2277</v>
      </c>
      <c r="J324" s="80" t="s">
        <v>45</v>
      </c>
      <c r="K324" s="91" t="s">
        <v>2278</v>
      </c>
      <c r="L324" s="82" t="s">
        <v>2323</v>
      </c>
      <c r="M324" s="83">
        <f t="shared" si="1"/>
        <v>110</v>
      </c>
      <c r="N324" s="84">
        <v>110.0</v>
      </c>
      <c r="O324" s="84">
        <v>0.0</v>
      </c>
      <c r="P324" s="84">
        <v>0.0</v>
      </c>
      <c r="Q324" s="94">
        <v>699.0</v>
      </c>
      <c r="R324" s="94">
        <v>990.76</v>
      </c>
      <c r="S324" s="95" t="s">
        <v>194</v>
      </c>
      <c r="T324" s="94">
        <v>1.0</v>
      </c>
      <c r="U324" s="96">
        <v>45598.0</v>
      </c>
      <c r="V324" s="97" t="s">
        <v>2312</v>
      </c>
      <c r="W324" s="97" t="s">
        <v>2313</v>
      </c>
      <c r="X324" s="79" t="s">
        <v>40</v>
      </c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  <c r="AQ324" s="88"/>
      <c r="AR324" s="88"/>
    </row>
    <row r="325" ht="19.5" customHeight="1">
      <c r="A325" s="79">
        <v>314.0</v>
      </c>
      <c r="B325" s="91" t="s">
        <v>31</v>
      </c>
      <c r="C325" s="91" t="s">
        <v>2274</v>
      </c>
      <c r="D325" s="91" t="s">
        <v>2324</v>
      </c>
      <c r="E325" s="92" t="s">
        <v>2325</v>
      </c>
      <c r="F325" s="91" t="s">
        <v>81</v>
      </c>
      <c r="G325" s="80" t="s">
        <v>44</v>
      </c>
      <c r="H325" s="80" t="s">
        <v>21</v>
      </c>
      <c r="I325" s="91" t="s">
        <v>2277</v>
      </c>
      <c r="J325" s="80" t="s">
        <v>45</v>
      </c>
      <c r="K325" s="91" t="s">
        <v>2278</v>
      </c>
      <c r="L325" s="82" t="s">
        <v>2326</v>
      </c>
      <c r="M325" s="83">
        <f t="shared" si="1"/>
        <v>93</v>
      </c>
      <c r="N325" s="84">
        <v>93.0</v>
      </c>
      <c r="O325" s="84">
        <v>0.0</v>
      </c>
      <c r="P325" s="84">
        <v>0.0</v>
      </c>
      <c r="Q325" s="94">
        <v>1659.8</v>
      </c>
      <c r="R325" s="94">
        <v>810.83</v>
      </c>
      <c r="S325" s="95" t="s">
        <v>2318</v>
      </c>
      <c r="T325" s="94">
        <v>1.0</v>
      </c>
      <c r="U325" s="96">
        <v>45603.0</v>
      </c>
      <c r="V325" s="97" t="s">
        <v>2319</v>
      </c>
      <c r="W325" s="97" t="s">
        <v>2320</v>
      </c>
      <c r="X325" s="79" t="s">
        <v>40</v>
      </c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  <c r="AQ325" s="88"/>
      <c r="AR325" s="88"/>
    </row>
    <row r="326" ht="19.5" customHeight="1">
      <c r="A326" s="79">
        <v>315.0</v>
      </c>
      <c r="B326" s="91" t="s">
        <v>31</v>
      </c>
      <c r="C326" s="91" t="s">
        <v>2327</v>
      </c>
      <c r="D326" s="91" t="s">
        <v>2328</v>
      </c>
      <c r="E326" s="92" t="s">
        <v>2329</v>
      </c>
      <c r="F326" s="91" t="s">
        <v>22</v>
      </c>
      <c r="G326" s="80" t="s">
        <v>46</v>
      </c>
      <c r="H326" s="80" t="s">
        <v>22</v>
      </c>
      <c r="I326" s="91" t="s">
        <v>2330</v>
      </c>
      <c r="J326" s="80" t="s">
        <v>43</v>
      </c>
      <c r="K326" s="91" t="s">
        <v>2330</v>
      </c>
      <c r="L326" s="82" t="s">
        <v>2331</v>
      </c>
      <c r="M326" s="83">
        <f t="shared" si="1"/>
        <v>430</v>
      </c>
      <c r="N326" s="84">
        <v>0.0</v>
      </c>
      <c r="O326" s="84">
        <v>430.0</v>
      </c>
      <c r="P326" s="84">
        <v>0.0</v>
      </c>
      <c r="Q326" s="94">
        <v>30215.0</v>
      </c>
      <c r="R326" s="94">
        <v>3845.0</v>
      </c>
      <c r="S326" s="95" t="s">
        <v>314</v>
      </c>
      <c r="T326" s="94">
        <v>35.0</v>
      </c>
      <c r="U326" s="96">
        <v>34692.0</v>
      </c>
      <c r="V326" s="97" t="s">
        <v>2332</v>
      </c>
      <c r="W326" s="97" t="s">
        <v>2333</v>
      </c>
      <c r="X326" s="79" t="s">
        <v>2334</v>
      </c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  <c r="AQ326" s="88"/>
      <c r="AR326" s="88"/>
    </row>
    <row r="327" ht="19.5" customHeight="1">
      <c r="A327" s="79">
        <v>316.0</v>
      </c>
      <c r="B327" s="91" t="s">
        <v>31</v>
      </c>
      <c r="C327" s="91" t="s">
        <v>2327</v>
      </c>
      <c r="D327" s="91" t="s">
        <v>2335</v>
      </c>
      <c r="E327" s="92" t="s">
        <v>2336</v>
      </c>
      <c r="F327" s="91" t="s">
        <v>81</v>
      </c>
      <c r="G327" s="80" t="s">
        <v>46</v>
      </c>
      <c r="H327" s="80" t="s">
        <v>21</v>
      </c>
      <c r="I327" s="80" t="s">
        <v>2337</v>
      </c>
      <c r="J327" s="80" t="s">
        <v>43</v>
      </c>
      <c r="K327" s="91" t="s">
        <v>2327</v>
      </c>
      <c r="L327" s="82" t="s">
        <v>2338</v>
      </c>
      <c r="M327" s="83">
        <f t="shared" si="1"/>
        <v>280</v>
      </c>
      <c r="N327" s="84">
        <v>0.0</v>
      </c>
      <c r="O327" s="84">
        <v>280.0</v>
      </c>
      <c r="P327" s="84">
        <v>0.0</v>
      </c>
      <c r="Q327" s="94">
        <v>38650.0</v>
      </c>
      <c r="R327" s="94">
        <v>4884.0</v>
      </c>
      <c r="S327" s="95" t="s">
        <v>194</v>
      </c>
      <c r="T327" s="94">
        <v>5.0</v>
      </c>
      <c r="U327" s="96">
        <v>36434.0</v>
      </c>
      <c r="V327" s="97" t="s">
        <v>2339</v>
      </c>
      <c r="W327" s="97" t="s">
        <v>2340</v>
      </c>
      <c r="X327" s="79" t="s">
        <v>2341</v>
      </c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  <c r="AQ327" s="88"/>
      <c r="AR327" s="88"/>
    </row>
    <row r="328" ht="19.5" customHeight="1">
      <c r="A328" s="79">
        <v>317.0</v>
      </c>
      <c r="B328" s="91" t="s">
        <v>31</v>
      </c>
      <c r="C328" s="91" t="s">
        <v>2327</v>
      </c>
      <c r="D328" s="91" t="s">
        <v>2342</v>
      </c>
      <c r="E328" s="92" t="s">
        <v>2343</v>
      </c>
      <c r="F328" s="91" t="s">
        <v>22</v>
      </c>
      <c r="G328" s="80" t="s">
        <v>46</v>
      </c>
      <c r="H328" s="80" t="s">
        <v>22</v>
      </c>
      <c r="I328" s="91" t="s">
        <v>2344</v>
      </c>
      <c r="J328" s="80" t="s">
        <v>43</v>
      </c>
      <c r="K328" s="91" t="s">
        <v>2344</v>
      </c>
      <c r="L328" s="82" t="s">
        <v>2345</v>
      </c>
      <c r="M328" s="83">
        <f t="shared" si="1"/>
        <v>575</v>
      </c>
      <c r="N328" s="84">
        <v>0.0</v>
      </c>
      <c r="O328" s="84">
        <v>485.0</v>
      </c>
      <c r="P328" s="84">
        <v>90.0</v>
      </c>
      <c r="Q328" s="94">
        <v>1330581.0</v>
      </c>
      <c r="R328" s="94">
        <v>8653.0</v>
      </c>
      <c r="S328" s="95" t="s">
        <v>103</v>
      </c>
      <c r="T328" s="94">
        <v>36.0</v>
      </c>
      <c r="U328" s="96">
        <v>35418.0</v>
      </c>
      <c r="V328" s="97" t="s">
        <v>2346</v>
      </c>
      <c r="W328" s="97" t="s">
        <v>2347</v>
      </c>
      <c r="X328" s="79" t="s">
        <v>2348</v>
      </c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  <c r="AQ328" s="88"/>
      <c r="AR328" s="88"/>
    </row>
    <row r="329" ht="19.5" customHeight="1">
      <c r="A329" s="79">
        <v>318.0</v>
      </c>
      <c r="B329" s="91" t="s">
        <v>31</v>
      </c>
      <c r="C329" s="91" t="s">
        <v>2327</v>
      </c>
      <c r="D329" s="91" t="s">
        <v>2349</v>
      </c>
      <c r="E329" s="92" t="s">
        <v>2350</v>
      </c>
      <c r="F329" s="91" t="s">
        <v>81</v>
      </c>
      <c r="G329" s="80" t="s">
        <v>44</v>
      </c>
      <c r="H329" s="80" t="s">
        <v>21</v>
      </c>
      <c r="I329" s="91" t="s">
        <v>2337</v>
      </c>
      <c r="J329" s="80" t="s">
        <v>43</v>
      </c>
      <c r="K329" s="91" t="s">
        <v>2327</v>
      </c>
      <c r="L329" s="82" t="s">
        <v>2351</v>
      </c>
      <c r="M329" s="83">
        <f t="shared" si="1"/>
        <v>130</v>
      </c>
      <c r="N329" s="84">
        <v>130.0</v>
      </c>
      <c r="O329" s="84">
        <v>0.0</v>
      </c>
      <c r="P329" s="84">
        <v>0.0</v>
      </c>
      <c r="Q329" s="94">
        <v>75039.0</v>
      </c>
      <c r="R329" s="94">
        <v>1126.0</v>
      </c>
      <c r="S329" s="95" t="s">
        <v>103</v>
      </c>
      <c r="T329" s="94">
        <v>1.0</v>
      </c>
      <c r="U329" s="96">
        <v>40264.0</v>
      </c>
      <c r="V329" s="97" t="s">
        <v>2352</v>
      </c>
      <c r="W329" s="97" t="s">
        <v>2353</v>
      </c>
      <c r="X329" s="79" t="s">
        <v>2354</v>
      </c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  <c r="AQ329" s="88"/>
      <c r="AR329" s="88"/>
    </row>
    <row r="330" ht="19.5" customHeight="1">
      <c r="A330" s="79">
        <v>319.0</v>
      </c>
      <c r="B330" s="91" t="s">
        <v>31</v>
      </c>
      <c r="C330" s="91" t="s">
        <v>2327</v>
      </c>
      <c r="D330" s="91" t="s">
        <v>2355</v>
      </c>
      <c r="E330" s="92" t="s">
        <v>2356</v>
      </c>
      <c r="F330" s="91" t="s">
        <v>81</v>
      </c>
      <c r="G330" s="80" t="s">
        <v>44</v>
      </c>
      <c r="H330" s="80" t="s">
        <v>21</v>
      </c>
      <c r="I330" s="91" t="s">
        <v>2337</v>
      </c>
      <c r="J330" s="80" t="s">
        <v>45</v>
      </c>
      <c r="K330" s="91" t="s">
        <v>2357</v>
      </c>
      <c r="L330" s="82" t="s">
        <v>2358</v>
      </c>
      <c r="M330" s="83">
        <f t="shared" si="1"/>
        <v>150</v>
      </c>
      <c r="N330" s="84">
        <v>150.0</v>
      </c>
      <c r="O330" s="84">
        <v>0.0</v>
      </c>
      <c r="P330" s="84">
        <v>0.0</v>
      </c>
      <c r="Q330" s="94"/>
      <c r="R330" s="94">
        <v>1033.0</v>
      </c>
      <c r="S330" s="95" t="s">
        <v>320</v>
      </c>
      <c r="T330" s="94">
        <v>1.0</v>
      </c>
      <c r="U330" s="96">
        <v>44585.0</v>
      </c>
      <c r="V330" s="97" t="s">
        <v>2359</v>
      </c>
      <c r="W330" s="97" t="s">
        <v>2360</v>
      </c>
      <c r="X330" s="79" t="s">
        <v>2361</v>
      </c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  <c r="AQ330" s="88"/>
      <c r="AR330" s="88"/>
    </row>
    <row r="331" ht="19.5" customHeight="1">
      <c r="A331" s="79">
        <v>320.0</v>
      </c>
      <c r="B331" s="91" t="s">
        <v>31</v>
      </c>
      <c r="C331" s="91" t="s">
        <v>2362</v>
      </c>
      <c r="D331" s="91" t="s">
        <v>2363</v>
      </c>
      <c r="E331" s="92" t="s">
        <v>2364</v>
      </c>
      <c r="F331" s="91" t="s">
        <v>22</v>
      </c>
      <c r="G331" s="80" t="s">
        <v>46</v>
      </c>
      <c r="H331" s="80" t="s">
        <v>22</v>
      </c>
      <c r="I331" s="91" t="s">
        <v>2365</v>
      </c>
      <c r="J331" s="80" t="s">
        <v>43</v>
      </c>
      <c r="K331" s="79" t="s">
        <v>2366</v>
      </c>
      <c r="L331" s="93" t="s">
        <v>2367</v>
      </c>
      <c r="M331" s="83">
        <f t="shared" si="1"/>
        <v>755</v>
      </c>
      <c r="N331" s="84">
        <v>0.0</v>
      </c>
      <c r="O331" s="84">
        <v>530.0</v>
      </c>
      <c r="P331" s="84">
        <v>225.0</v>
      </c>
      <c r="Q331" s="94">
        <v>297400.0</v>
      </c>
      <c r="R331" s="94">
        <v>5896.0</v>
      </c>
      <c r="S331" s="95" t="s">
        <v>103</v>
      </c>
      <c r="T331" s="94">
        <v>39.0</v>
      </c>
      <c r="U331" s="96">
        <v>36193.0</v>
      </c>
      <c r="V331" s="97" t="s">
        <v>2368</v>
      </c>
      <c r="W331" s="97" t="s">
        <v>2369</v>
      </c>
      <c r="X331" s="79" t="s">
        <v>2370</v>
      </c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  <c r="AQ331" s="88"/>
      <c r="AR331" s="88"/>
    </row>
    <row r="332" ht="19.5" customHeight="1">
      <c r="A332" s="79">
        <v>321.0</v>
      </c>
      <c r="B332" s="91" t="s">
        <v>31</v>
      </c>
      <c r="C332" s="91" t="s">
        <v>2362</v>
      </c>
      <c r="D332" s="91" t="s">
        <v>2371</v>
      </c>
      <c r="E332" s="92" t="s">
        <v>2372</v>
      </c>
      <c r="F332" s="91" t="s">
        <v>687</v>
      </c>
      <c r="G332" s="80" t="s">
        <v>44</v>
      </c>
      <c r="H332" s="80" t="s">
        <v>21</v>
      </c>
      <c r="I332" s="91" t="s">
        <v>2373</v>
      </c>
      <c r="J332" s="80" t="s">
        <v>45</v>
      </c>
      <c r="K332" s="91" t="s">
        <v>2374</v>
      </c>
      <c r="L332" s="82" t="s">
        <v>2375</v>
      </c>
      <c r="M332" s="83">
        <f t="shared" si="1"/>
        <v>150</v>
      </c>
      <c r="N332" s="84">
        <v>150.0</v>
      </c>
      <c r="O332" s="84"/>
      <c r="P332" s="84"/>
      <c r="Q332" s="94">
        <v>6288.0</v>
      </c>
      <c r="R332" s="94">
        <v>2226.0</v>
      </c>
      <c r="S332" s="95" t="s">
        <v>599</v>
      </c>
      <c r="T332" s="94">
        <v>1.0</v>
      </c>
      <c r="U332" s="96" t="s">
        <v>2376</v>
      </c>
      <c r="V332" s="97" t="s">
        <v>2377</v>
      </c>
      <c r="W332" s="97" t="s">
        <v>2378</v>
      </c>
      <c r="X332" s="79" t="s">
        <v>2379</v>
      </c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  <c r="AQ332" s="88"/>
      <c r="AR332" s="88"/>
    </row>
    <row r="333" ht="19.5" customHeight="1">
      <c r="A333" s="79">
        <v>322.0</v>
      </c>
      <c r="B333" s="91" t="s">
        <v>31</v>
      </c>
      <c r="C333" s="95" t="s">
        <v>2362</v>
      </c>
      <c r="D333" s="95" t="s">
        <v>2380</v>
      </c>
      <c r="E333" s="100" t="s">
        <v>2381</v>
      </c>
      <c r="F333" s="95" t="s">
        <v>687</v>
      </c>
      <c r="G333" s="80" t="s">
        <v>44</v>
      </c>
      <c r="H333" s="80" t="s">
        <v>21</v>
      </c>
      <c r="I333" s="95" t="s">
        <v>2373</v>
      </c>
      <c r="J333" s="80" t="s">
        <v>45</v>
      </c>
      <c r="K333" s="95" t="s">
        <v>2382</v>
      </c>
      <c r="L333" s="127" t="s">
        <v>2383</v>
      </c>
      <c r="M333" s="83">
        <f t="shared" si="1"/>
        <v>150</v>
      </c>
      <c r="N333" s="84">
        <v>150.0</v>
      </c>
      <c r="O333" s="84"/>
      <c r="P333" s="84"/>
      <c r="Q333" s="94"/>
      <c r="R333" s="94">
        <v>1460.0</v>
      </c>
      <c r="S333" s="95" t="s">
        <v>2384</v>
      </c>
      <c r="T333" s="94">
        <v>1.0</v>
      </c>
      <c r="U333" s="96"/>
      <c r="V333" s="97" t="s">
        <v>2385</v>
      </c>
      <c r="W333" s="97" t="s">
        <v>2386</v>
      </c>
      <c r="X333" s="79" t="s">
        <v>2387</v>
      </c>
      <c r="Y333" s="98"/>
      <c r="Z333" s="98"/>
      <c r="AA333" s="98"/>
      <c r="AB333" s="98"/>
      <c r="AC333" s="98"/>
      <c r="AD333" s="98"/>
      <c r="AE333" s="98"/>
      <c r="AF333" s="98"/>
      <c r="AG333" s="98"/>
      <c r="AH333" s="98"/>
      <c r="AI333" s="98"/>
      <c r="AJ333" s="98"/>
      <c r="AK333" s="98"/>
      <c r="AL333" s="98"/>
      <c r="AM333" s="98"/>
      <c r="AN333" s="98"/>
      <c r="AO333" s="98"/>
      <c r="AP333" s="98"/>
      <c r="AQ333" s="98"/>
      <c r="AR333" s="98"/>
    </row>
    <row r="334" ht="19.5" customHeight="1">
      <c r="A334" s="79">
        <v>323.0</v>
      </c>
      <c r="B334" s="91" t="s">
        <v>31</v>
      </c>
      <c r="C334" s="95" t="s">
        <v>2362</v>
      </c>
      <c r="D334" s="95" t="s">
        <v>2388</v>
      </c>
      <c r="E334" s="100" t="s">
        <v>2389</v>
      </c>
      <c r="F334" s="95" t="s">
        <v>687</v>
      </c>
      <c r="G334" s="80" t="s">
        <v>44</v>
      </c>
      <c r="H334" s="80" t="s">
        <v>21</v>
      </c>
      <c r="I334" s="95" t="s">
        <v>2373</v>
      </c>
      <c r="J334" s="80" t="s">
        <v>45</v>
      </c>
      <c r="K334" s="95" t="s">
        <v>2390</v>
      </c>
      <c r="L334" s="127" t="s">
        <v>2391</v>
      </c>
      <c r="M334" s="83">
        <f t="shared" si="1"/>
        <v>250</v>
      </c>
      <c r="N334" s="84">
        <v>250.0</v>
      </c>
      <c r="O334" s="84"/>
      <c r="P334" s="84"/>
      <c r="Q334" s="94">
        <v>4400.0</v>
      </c>
      <c r="R334" s="94">
        <v>2526.0</v>
      </c>
      <c r="S334" s="95" t="s">
        <v>103</v>
      </c>
      <c r="T334" s="94">
        <v>1.0</v>
      </c>
      <c r="U334" s="96" t="s">
        <v>2392</v>
      </c>
      <c r="V334" s="97" t="s">
        <v>2393</v>
      </c>
      <c r="W334" s="97" t="s">
        <v>2394</v>
      </c>
      <c r="X334" s="79" t="s">
        <v>2395</v>
      </c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  <c r="AQ334" s="88"/>
      <c r="AR334" s="88"/>
    </row>
    <row r="335" ht="19.5" customHeight="1">
      <c r="A335" s="79">
        <v>324.0</v>
      </c>
      <c r="B335" s="91" t="s">
        <v>31</v>
      </c>
      <c r="C335" s="95" t="s">
        <v>2396</v>
      </c>
      <c r="D335" s="95" t="s">
        <v>2397</v>
      </c>
      <c r="E335" s="100" t="s">
        <v>2398</v>
      </c>
      <c r="F335" s="95" t="s">
        <v>81</v>
      </c>
      <c r="G335" s="80" t="s">
        <v>44</v>
      </c>
      <c r="H335" s="80" t="s">
        <v>21</v>
      </c>
      <c r="I335" s="95" t="s">
        <v>2399</v>
      </c>
      <c r="J335" s="80" t="s">
        <v>45</v>
      </c>
      <c r="K335" s="95" t="s">
        <v>2399</v>
      </c>
      <c r="L335" s="127" t="s">
        <v>2400</v>
      </c>
      <c r="M335" s="83">
        <f t="shared" si="1"/>
        <v>60</v>
      </c>
      <c r="N335" s="84">
        <v>60.0</v>
      </c>
      <c r="O335" s="84"/>
      <c r="P335" s="84"/>
      <c r="Q335" s="94">
        <v>1202.0</v>
      </c>
      <c r="R335" s="94">
        <v>736.0</v>
      </c>
      <c r="S335" s="95" t="s">
        <v>103</v>
      </c>
      <c r="T335" s="94">
        <v>1.0</v>
      </c>
      <c r="U335" s="96">
        <v>37887.0</v>
      </c>
      <c r="V335" s="97" t="s">
        <v>2401</v>
      </c>
      <c r="W335" s="97" t="s">
        <v>2402</v>
      </c>
      <c r="X335" s="79" t="s">
        <v>2403</v>
      </c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  <c r="AQ335" s="88"/>
      <c r="AR335" s="88"/>
    </row>
    <row r="336" ht="19.5" customHeight="1">
      <c r="A336" s="79">
        <v>325.0</v>
      </c>
      <c r="B336" s="91" t="s">
        <v>31</v>
      </c>
      <c r="C336" s="91" t="s">
        <v>2396</v>
      </c>
      <c r="D336" s="91" t="s">
        <v>2404</v>
      </c>
      <c r="E336" s="92" t="s">
        <v>2405</v>
      </c>
      <c r="F336" s="91" t="s">
        <v>22</v>
      </c>
      <c r="G336" s="80" t="s">
        <v>46</v>
      </c>
      <c r="H336" s="80" t="s">
        <v>22</v>
      </c>
      <c r="I336" s="91" t="s">
        <v>2406</v>
      </c>
      <c r="J336" s="80" t="s">
        <v>43</v>
      </c>
      <c r="K336" s="91" t="s">
        <v>2407</v>
      </c>
      <c r="L336" s="82" t="s">
        <v>2408</v>
      </c>
      <c r="M336" s="83">
        <f t="shared" si="1"/>
        <v>490</v>
      </c>
      <c r="N336" s="84"/>
      <c r="O336" s="84">
        <v>420.0</v>
      </c>
      <c r="P336" s="84">
        <v>70.0</v>
      </c>
      <c r="Q336" s="94">
        <v>6102.0</v>
      </c>
      <c r="R336" s="94">
        <v>3398.85</v>
      </c>
      <c r="S336" s="95" t="s">
        <v>217</v>
      </c>
      <c r="T336" s="94">
        <v>2.0</v>
      </c>
      <c r="U336" s="96">
        <v>35593.0</v>
      </c>
      <c r="V336" s="97" t="s">
        <v>2409</v>
      </c>
      <c r="W336" s="97" t="s">
        <v>2410</v>
      </c>
      <c r="X336" s="79" t="s">
        <v>2411</v>
      </c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  <c r="AQ336" s="88"/>
      <c r="AR336" s="88"/>
    </row>
    <row r="337" ht="19.5" customHeight="1">
      <c r="A337" s="79">
        <v>326.0</v>
      </c>
      <c r="B337" s="91" t="s">
        <v>31</v>
      </c>
      <c r="C337" s="91" t="s">
        <v>2396</v>
      </c>
      <c r="D337" s="91" t="s">
        <v>2404</v>
      </c>
      <c r="E337" s="92" t="s">
        <v>2412</v>
      </c>
      <c r="F337" s="91" t="s">
        <v>22</v>
      </c>
      <c r="G337" s="80" t="s">
        <v>46</v>
      </c>
      <c r="H337" s="80" t="s">
        <v>22</v>
      </c>
      <c r="I337" s="91" t="s">
        <v>2413</v>
      </c>
      <c r="J337" s="80" t="s">
        <v>43</v>
      </c>
      <c r="K337" s="91" t="s">
        <v>2413</v>
      </c>
      <c r="L337" s="82" t="s">
        <v>2414</v>
      </c>
      <c r="M337" s="83">
        <f t="shared" si="1"/>
        <v>200</v>
      </c>
      <c r="N337" s="84"/>
      <c r="O337" s="84">
        <v>200.0</v>
      </c>
      <c r="P337" s="84"/>
      <c r="Q337" s="94">
        <v>8427.0</v>
      </c>
      <c r="R337" s="94">
        <v>8643.95</v>
      </c>
      <c r="S337" s="95" t="s">
        <v>320</v>
      </c>
      <c r="T337" s="94">
        <v>2.0</v>
      </c>
      <c r="U337" s="96">
        <v>41815.0</v>
      </c>
      <c r="V337" s="97" t="s">
        <v>2415</v>
      </c>
      <c r="W337" s="97" t="s">
        <v>2416</v>
      </c>
      <c r="X337" s="79" t="s">
        <v>2417</v>
      </c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  <c r="AQ337" s="88"/>
      <c r="AR337" s="88"/>
    </row>
    <row r="338" ht="19.5" customHeight="1">
      <c r="A338" s="79">
        <v>327.0</v>
      </c>
      <c r="B338" s="91" t="s">
        <v>31</v>
      </c>
      <c r="C338" s="91" t="s">
        <v>2396</v>
      </c>
      <c r="D338" s="91" t="s">
        <v>2418</v>
      </c>
      <c r="E338" s="92" t="s">
        <v>2419</v>
      </c>
      <c r="F338" s="91" t="s">
        <v>22</v>
      </c>
      <c r="G338" s="80" t="s">
        <v>12</v>
      </c>
      <c r="H338" s="80" t="s">
        <v>22</v>
      </c>
      <c r="I338" s="91" t="s">
        <v>2420</v>
      </c>
      <c r="J338" s="80" t="s">
        <v>43</v>
      </c>
      <c r="K338" s="91" t="s">
        <v>2420</v>
      </c>
      <c r="L338" s="82" t="s">
        <v>2421</v>
      </c>
      <c r="M338" s="83">
        <f t="shared" si="1"/>
        <v>286</v>
      </c>
      <c r="N338" s="84"/>
      <c r="O338" s="84">
        <v>286.0</v>
      </c>
      <c r="P338" s="84"/>
      <c r="Q338" s="94">
        <v>67785.0</v>
      </c>
      <c r="R338" s="94">
        <v>5304.0</v>
      </c>
      <c r="S338" s="95" t="s">
        <v>314</v>
      </c>
      <c r="T338" s="94">
        <v>10.0</v>
      </c>
      <c r="U338" s="96">
        <v>36347.0</v>
      </c>
      <c r="V338" s="97" t="s">
        <v>2422</v>
      </c>
      <c r="W338" s="97" t="s">
        <v>2423</v>
      </c>
      <c r="X338" s="79" t="s">
        <v>2424</v>
      </c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  <c r="AQ338" s="88"/>
      <c r="AR338" s="88"/>
    </row>
    <row r="339" ht="19.5" customHeight="1">
      <c r="A339" s="79">
        <v>328.0</v>
      </c>
      <c r="B339" s="91" t="s">
        <v>31</v>
      </c>
      <c r="C339" s="91" t="s">
        <v>2396</v>
      </c>
      <c r="D339" s="91" t="s">
        <v>2425</v>
      </c>
      <c r="E339" s="92" t="s">
        <v>2426</v>
      </c>
      <c r="F339" s="91" t="s">
        <v>22</v>
      </c>
      <c r="G339" s="80" t="s">
        <v>46</v>
      </c>
      <c r="H339" s="80" t="s">
        <v>22</v>
      </c>
      <c r="I339" s="91" t="s">
        <v>2427</v>
      </c>
      <c r="J339" s="80" t="s">
        <v>43</v>
      </c>
      <c r="K339" s="91" t="s">
        <v>2427</v>
      </c>
      <c r="L339" s="82" t="s">
        <v>2428</v>
      </c>
      <c r="M339" s="83">
        <f t="shared" si="1"/>
        <v>360</v>
      </c>
      <c r="N339" s="84"/>
      <c r="O339" s="84">
        <v>360.0</v>
      </c>
      <c r="P339" s="84"/>
      <c r="Q339" s="94">
        <v>9102.0</v>
      </c>
      <c r="R339" s="94">
        <v>5089.0</v>
      </c>
      <c r="S339" s="95" t="s">
        <v>2429</v>
      </c>
      <c r="T339" s="94">
        <v>1.0</v>
      </c>
      <c r="U339" s="96">
        <v>38989.0</v>
      </c>
      <c r="V339" s="97" t="s">
        <v>2430</v>
      </c>
      <c r="W339" s="97" t="s">
        <v>2431</v>
      </c>
      <c r="X339" s="79" t="s">
        <v>2432</v>
      </c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  <c r="AQ339" s="88"/>
      <c r="AR339" s="88"/>
    </row>
    <row r="340" ht="19.5" customHeight="1">
      <c r="A340" s="79">
        <v>329.0</v>
      </c>
      <c r="B340" s="91" t="s">
        <v>31</v>
      </c>
      <c r="C340" s="91" t="s">
        <v>2396</v>
      </c>
      <c r="D340" s="91" t="s">
        <v>2425</v>
      </c>
      <c r="E340" s="92" t="s">
        <v>2433</v>
      </c>
      <c r="F340" s="91" t="s">
        <v>22</v>
      </c>
      <c r="G340" s="80" t="s">
        <v>46</v>
      </c>
      <c r="H340" s="80" t="s">
        <v>22</v>
      </c>
      <c r="I340" s="91" t="s">
        <v>2434</v>
      </c>
      <c r="J340" s="80" t="s">
        <v>43</v>
      </c>
      <c r="K340" s="91" t="s">
        <v>2434</v>
      </c>
      <c r="L340" s="82" t="s">
        <v>2435</v>
      </c>
      <c r="M340" s="83">
        <f t="shared" si="1"/>
        <v>440</v>
      </c>
      <c r="N340" s="84"/>
      <c r="O340" s="84">
        <v>440.0</v>
      </c>
      <c r="P340" s="84"/>
      <c r="Q340" s="94">
        <v>8471.0</v>
      </c>
      <c r="R340" s="94">
        <v>4886.0</v>
      </c>
      <c r="S340" s="95" t="s">
        <v>194</v>
      </c>
      <c r="T340" s="94">
        <v>2.0</v>
      </c>
      <c r="U340" s="96">
        <v>40415.0</v>
      </c>
      <c r="V340" s="97" t="s">
        <v>2436</v>
      </c>
      <c r="W340" s="97" t="s">
        <v>2437</v>
      </c>
      <c r="X340" s="79" t="s">
        <v>2438</v>
      </c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  <c r="AQ340" s="88"/>
      <c r="AR340" s="88"/>
    </row>
    <row r="341" ht="19.5" customHeight="1">
      <c r="A341" s="79">
        <v>330.0</v>
      </c>
      <c r="B341" s="91" t="s">
        <v>31</v>
      </c>
      <c r="C341" s="91" t="s">
        <v>2439</v>
      </c>
      <c r="D341" s="91" t="s">
        <v>2440</v>
      </c>
      <c r="E341" s="92" t="s">
        <v>2441</v>
      </c>
      <c r="F341" s="91" t="s">
        <v>687</v>
      </c>
      <c r="G341" s="80" t="s">
        <v>42</v>
      </c>
      <c r="H341" s="80" t="s">
        <v>21</v>
      </c>
      <c r="I341" s="91" t="s">
        <v>2442</v>
      </c>
      <c r="J341" s="80" t="s">
        <v>45</v>
      </c>
      <c r="K341" s="91" t="s">
        <v>2443</v>
      </c>
      <c r="L341" s="82" t="s">
        <v>2444</v>
      </c>
      <c r="M341" s="83">
        <f t="shared" si="1"/>
        <v>500</v>
      </c>
      <c r="N341" s="84">
        <v>500.0</v>
      </c>
      <c r="O341" s="84">
        <v>0.0</v>
      </c>
      <c r="P341" s="84">
        <v>0.0</v>
      </c>
      <c r="Q341" s="94">
        <v>3764.0</v>
      </c>
      <c r="R341" s="94">
        <v>3764.0</v>
      </c>
      <c r="S341" s="95" t="s">
        <v>103</v>
      </c>
      <c r="T341" s="94">
        <v>1.0</v>
      </c>
      <c r="U341" s="96">
        <v>36020.0</v>
      </c>
      <c r="V341" s="97" t="s">
        <v>2445</v>
      </c>
      <c r="W341" s="97" t="s">
        <v>2446</v>
      </c>
      <c r="X341" s="79" t="s">
        <v>2447</v>
      </c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  <c r="AQ341" s="88"/>
      <c r="AR341" s="88"/>
    </row>
    <row r="342" ht="19.5" customHeight="1">
      <c r="A342" s="79">
        <v>331.0</v>
      </c>
      <c r="B342" s="91" t="s">
        <v>31</v>
      </c>
      <c r="C342" s="95" t="s">
        <v>2439</v>
      </c>
      <c r="D342" s="95" t="s">
        <v>2448</v>
      </c>
      <c r="E342" s="100" t="s">
        <v>2449</v>
      </c>
      <c r="F342" s="95" t="s">
        <v>801</v>
      </c>
      <c r="G342" s="80" t="s">
        <v>46</v>
      </c>
      <c r="H342" s="80" t="s">
        <v>21</v>
      </c>
      <c r="I342" s="95" t="s">
        <v>2450</v>
      </c>
      <c r="J342" s="80" t="s">
        <v>43</v>
      </c>
      <c r="K342" s="95" t="s">
        <v>2451</v>
      </c>
      <c r="L342" s="82" t="s">
        <v>2452</v>
      </c>
      <c r="M342" s="83">
        <f t="shared" si="1"/>
        <v>524</v>
      </c>
      <c r="N342" s="84">
        <v>0.0</v>
      </c>
      <c r="O342" s="84">
        <v>452.0</v>
      </c>
      <c r="P342" s="84">
        <v>72.0</v>
      </c>
      <c r="Q342" s="94">
        <v>273074.0</v>
      </c>
      <c r="R342" s="94">
        <v>17362.0</v>
      </c>
      <c r="S342" s="95" t="s">
        <v>194</v>
      </c>
      <c r="T342" s="94">
        <v>13.0</v>
      </c>
      <c r="U342" s="96">
        <v>41955.0</v>
      </c>
      <c r="V342" s="97" t="s">
        <v>2453</v>
      </c>
      <c r="W342" s="97" t="s">
        <v>2454</v>
      </c>
      <c r="X342" s="79" t="s">
        <v>2455</v>
      </c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  <c r="AQ342" s="88"/>
      <c r="AR342" s="88"/>
    </row>
    <row r="343" ht="19.5" customHeight="1">
      <c r="A343" s="79">
        <v>332.0</v>
      </c>
      <c r="B343" s="91" t="s">
        <v>31</v>
      </c>
      <c r="C343" s="91" t="s">
        <v>2439</v>
      </c>
      <c r="D343" s="91" t="s">
        <v>2440</v>
      </c>
      <c r="E343" s="92" t="s">
        <v>2456</v>
      </c>
      <c r="F343" s="91" t="s">
        <v>687</v>
      </c>
      <c r="G343" s="80" t="s">
        <v>44</v>
      </c>
      <c r="H343" s="80" t="s">
        <v>21</v>
      </c>
      <c r="I343" s="91" t="s">
        <v>2442</v>
      </c>
      <c r="J343" s="80" t="s">
        <v>45</v>
      </c>
      <c r="K343" s="91" t="s">
        <v>2443</v>
      </c>
      <c r="L343" s="82" t="s">
        <v>2457</v>
      </c>
      <c r="M343" s="83">
        <f t="shared" si="1"/>
        <v>50</v>
      </c>
      <c r="N343" s="84">
        <v>50.0</v>
      </c>
      <c r="O343" s="84">
        <v>0.0</v>
      </c>
      <c r="P343" s="84">
        <v>0.0</v>
      </c>
      <c r="Q343" s="94">
        <v>5325.0</v>
      </c>
      <c r="R343" s="94">
        <v>384.12</v>
      </c>
      <c r="S343" s="95" t="s">
        <v>2458</v>
      </c>
      <c r="T343" s="94">
        <v>1.0</v>
      </c>
      <c r="U343" s="96">
        <v>42977.0</v>
      </c>
      <c r="V343" s="97" t="s">
        <v>2459</v>
      </c>
      <c r="W343" s="97" t="s">
        <v>2460</v>
      </c>
      <c r="X343" s="79" t="s">
        <v>2447</v>
      </c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  <c r="AQ343" s="88"/>
      <c r="AR343" s="88"/>
    </row>
    <row r="344" ht="19.5" customHeight="1">
      <c r="A344" s="79">
        <v>333.0</v>
      </c>
      <c r="B344" s="91" t="s">
        <v>31</v>
      </c>
      <c r="C344" s="95" t="s">
        <v>2461</v>
      </c>
      <c r="D344" s="95" t="s">
        <v>2462</v>
      </c>
      <c r="E344" s="100" t="s">
        <v>2463</v>
      </c>
      <c r="F344" s="95" t="s">
        <v>81</v>
      </c>
      <c r="G344" s="80" t="s">
        <v>44</v>
      </c>
      <c r="H344" s="80" t="s">
        <v>21</v>
      </c>
      <c r="I344" s="95" t="s">
        <v>2464</v>
      </c>
      <c r="J344" s="80" t="s">
        <v>45</v>
      </c>
      <c r="K344" s="95" t="s">
        <v>2465</v>
      </c>
      <c r="L344" s="82" t="s">
        <v>2466</v>
      </c>
      <c r="M344" s="83">
        <f t="shared" si="1"/>
        <v>120</v>
      </c>
      <c r="N344" s="84">
        <v>120.0</v>
      </c>
      <c r="O344" s="84"/>
      <c r="P344" s="84"/>
      <c r="Q344" s="94">
        <v>3005.0</v>
      </c>
      <c r="R344" s="94">
        <v>611.0</v>
      </c>
      <c r="S344" s="95" t="s">
        <v>1884</v>
      </c>
      <c r="T344" s="94">
        <v>1.0</v>
      </c>
      <c r="U344" s="96">
        <v>39289.0</v>
      </c>
      <c r="V344" s="97" t="s">
        <v>2467</v>
      </c>
      <c r="W344" s="97" t="s">
        <v>2468</v>
      </c>
      <c r="X344" s="79" t="s">
        <v>2469</v>
      </c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  <c r="AQ344" s="88"/>
      <c r="AR344" s="88"/>
    </row>
    <row r="345" ht="19.5" customHeight="1">
      <c r="A345" s="79">
        <v>334.0</v>
      </c>
      <c r="B345" s="91" t="s">
        <v>31</v>
      </c>
      <c r="C345" s="95" t="s">
        <v>2461</v>
      </c>
      <c r="D345" s="95" t="s">
        <v>2470</v>
      </c>
      <c r="E345" s="100" t="s">
        <v>2471</v>
      </c>
      <c r="F345" s="95" t="s">
        <v>81</v>
      </c>
      <c r="G345" s="80" t="s">
        <v>44</v>
      </c>
      <c r="H345" s="80" t="s">
        <v>21</v>
      </c>
      <c r="I345" s="95" t="s">
        <v>2464</v>
      </c>
      <c r="J345" s="80" t="s">
        <v>45</v>
      </c>
      <c r="K345" s="95" t="s">
        <v>2472</v>
      </c>
      <c r="L345" s="82" t="s">
        <v>2473</v>
      </c>
      <c r="M345" s="83">
        <f t="shared" si="1"/>
        <v>150</v>
      </c>
      <c r="N345" s="84">
        <v>150.0</v>
      </c>
      <c r="O345" s="84">
        <v>0.0</v>
      </c>
      <c r="P345" s="84">
        <v>0.0</v>
      </c>
      <c r="Q345" s="94">
        <v>1007.0</v>
      </c>
      <c r="R345" s="94">
        <v>1078.73</v>
      </c>
      <c r="S345" s="95" t="s">
        <v>217</v>
      </c>
      <c r="T345" s="94">
        <v>1.0</v>
      </c>
      <c r="U345" s="96">
        <v>42661.0</v>
      </c>
      <c r="V345" s="97" t="s">
        <v>2474</v>
      </c>
      <c r="W345" s="97" t="s">
        <v>2475</v>
      </c>
      <c r="X345" s="79" t="s">
        <v>2476</v>
      </c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  <c r="AQ345" s="88"/>
      <c r="AR345" s="88"/>
    </row>
    <row r="346" ht="19.5" customHeight="1">
      <c r="A346" s="79">
        <v>335.0</v>
      </c>
      <c r="B346" s="91" t="s">
        <v>31</v>
      </c>
      <c r="C346" s="95" t="s">
        <v>2461</v>
      </c>
      <c r="D346" s="95" t="s">
        <v>1738</v>
      </c>
      <c r="E346" s="100" t="s">
        <v>2477</v>
      </c>
      <c r="F346" s="95" t="s">
        <v>81</v>
      </c>
      <c r="G346" s="80" t="s">
        <v>44</v>
      </c>
      <c r="H346" s="80" t="s">
        <v>21</v>
      </c>
      <c r="I346" s="95" t="s">
        <v>2464</v>
      </c>
      <c r="J346" s="80" t="s">
        <v>45</v>
      </c>
      <c r="K346" s="95" t="s">
        <v>2478</v>
      </c>
      <c r="L346" s="82" t="s">
        <v>2479</v>
      </c>
      <c r="M346" s="83">
        <f t="shared" si="1"/>
        <v>100</v>
      </c>
      <c r="N346" s="84">
        <v>100.0</v>
      </c>
      <c r="O346" s="84"/>
      <c r="P346" s="84"/>
      <c r="Q346" s="94">
        <v>4741.0</v>
      </c>
      <c r="R346" s="94">
        <v>506.86</v>
      </c>
      <c r="S346" s="95" t="s">
        <v>217</v>
      </c>
      <c r="T346" s="94">
        <v>1.0</v>
      </c>
      <c r="U346" s="96">
        <v>41600.0</v>
      </c>
      <c r="V346" s="97" t="s">
        <v>2480</v>
      </c>
      <c r="W346" s="97" t="s">
        <v>2481</v>
      </c>
      <c r="X346" s="79" t="s">
        <v>2482</v>
      </c>
      <c r="Y346" s="103"/>
      <c r="Z346" s="103"/>
      <c r="AA346" s="103"/>
      <c r="AB346" s="103"/>
      <c r="AC346" s="103"/>
      <c r="AD346" s="103"/>
      <c r="AE346" s="103"/>
      <c r="AF346" s="103"/>
      <c r="AG346" s="103"/>
      <c r="AH346" s="103"/>
      <c r="AI346" s="103"/>
      <c r="AJ346" s="103"/>
      <c r="AK346" s="103"/>
      <c r="AL346" s="103"/>
      <c r="AM346" s="103"/>
      <c r="AN346" s="103"/>
      <c r="AO346" s="103"/>
      <c r="AP346" s="103"/>
      <c r="AQ346" s="103"/>
      <c r="AR346" s="103"/>
    </row>
    <row r="347" ht="19.5" customHeight="1">
      <c r="A347" s="79">
        <v>336.0</v>
      </c>
      <c r="B347" s="91" t="s">
        <v>31</v>
      </c>
      <c r="C347" s="95" t="s">
        <v>2483</v>
      </c>
      <c r="D347" s="95" t="s">
        <v>2484</v>
      </c>
      <c r="E347" s="100" t="s">
        <v>2485</v>
      </c>
      <c r="F347" s="95" t="s">
        <v>22</v>
      </c>
      <c r="G347" s="80" t="s">
        <v>12</v>
      </c>
      <c r="H347" s="80" t="s">
        <v>22</v>
      </c>
      <c r="I347" s="95" t="s">
        <v>2486</v>
      </c>
      <c r="J347" s="80" t="s">
        <v>43</v>
      </c>
      <c r="K347" s="95" t="s">
        <v>2487</v>
      </c>
      <c r="L347" s="82" t="s">
        <v>2488</v>
      </c>
      <c r="M347" s="83">
        <f t="shared" si="1"/>
        <v>330</v>
      </c>
      <c r="N347" s="84"/>
      <c r="O347" s="84">
        <v>330.0</v>
      </c>
      <c r="P347" s="84"/>
      <c r="Q347" s="94">
        <v>30801.0</v>
      </c>
      <c r="R347" s="94">
        <v>3348.0</v>
      </c>
      <c r="S347" s="95" t="s">
        <v>2489</v>
      </c>
      <c r="T347" s="94">
        <v>5.0</v>
      </c>
      <c r="U347" s="96">
        <v>36290.0</v>
      </c>
      <c r="V347" s="97" t="s">
        <v>2490</v>
      </c>
      <c r="W347" s="97" t="s">
        <v>2491</v>
      </c>
      <c r="X347" s="79" t="s">
        <v>2492</v>
      </c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  <c r="AQ347" s="88"/>
      <c r="AR347" s="88"/>
    </row>
    <row r="348" ht="19.5" customHeight="1">
      <c r="A348" s="79">
        <v>337.0</v>
      </c>
      <c r="B348" s="91" t="s">
        <v>31</v>
      </c>
      <c r="C348" s="95" t="s">
        <v>2483</v>
      </c>
      <c r="D348" s="95" t="s">
        <v>2493</v>
      </c>
      <c r="E348" s="100" t="s">
        <v>2494</v>
      </c>
      <c r="F348" s="95" t="s">
        <v>81</v>
      </c>
      <c r="G348" s="80" t="s">
        <v>42</v>
      </c>
      <c r="H348" s="80" t="s">
        <v>21</v>
      </c>
      <c r="I348" s="95" t="s">
        <v>2495</v>
      </c>
      <c r="J348" s="80" t="s">
        <v>45</v>
      </c>
      <c r="K348" s="95" t="s">
        <v>2496</v>
      </c>
      <c r="L348" s="82" t="s">
        <v>2497</v>
      </c>
      <c r="M348" s="83">
        <f t="shared" si="1"/>
        <v>716</v>
      </c>
      <c r="N348" s="84">
        <v>716.0</v>
      </c>
      <c r="O348" s="84"/>
      <c r="P348" s="84"/>
      <c r="Q348" s="94">
        <v>10800.0</v>
      </c>
      <c r="R348" s="94">
        <v>8216.0</v>
      </c>
      <c r="S348" s="95" t="s">
        <v>112</v>
      </c>
      <c r="T348" s="94">
        <v>1.0</v>
      </c>
      <c r="U348" s="96">
        <v>38596.0</v>
      </c>
      <c r="V348" s="97" t="s">
        <v>2498</v>
      </c>
      <c r="W348" s="97" t="s">
        <v>2499</v>
      </c>
      <c r="X348" s="79" t="s">
        <v>2500</v>
      </c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  <c r="AQ348" s="88"/>
      <c r="AR348" s="88"/>
    </row>
    <row r="349" ht="19.5" customHeight="1">
      <c r="A349" s="79">
        <v>338.0</v>
      </c>
      <c r="B349" s="91" t="s">
        <v>31</v>
      </c>
      <c r="C349" s="91" t="s">
        <v>2483</v>
      </c>
      <c r="D349" s="91" t="s">
        <v>2501</v>
      </c>
      <c r="E349" s="92" t="s">
        <v>2502</v>
      </c>
      <c r="F349" s="91" t="s">
        <v>81</v>
      </c>
      <c r="G349" s="80" t="s">
        <v>44</v>
      </c>
      <c r="H349" s="80" t="s">
        <v>21</v>
      </c>
      <c r="I349" s="91" t="s">
        <v>2495</v>
      </c>
      <c r="J349" s="80" t="s">
        <v>45</v>
      </c>
      <c r="K349" s="91" t="s">
        <v>2496</v>
      </c>
      <c r="L349" s="82" t="s">
        <v>2503</v>
      </c>
      <c r="M349" s="83">
        <f t="shared" si="1"/>
        <v>138</v>
      </c>
      <c r="N349" s="84">
        <v>138.0</v>
      </c>
      <c r="O349" s="84"/>
      <c r="P349" s="84"/>
      <c r="Q349" s="94">
        <v>888.0</v>
      </c>
      <c r="R349" s="94">
        <v>799.09</v>
      </c>
      <c r="S349" s="95" t="s">
        <v>291</v>
      </c>
      <c r="T349" s="94">
        <v>1.0</v>
      </c>
      <c r="U349" s="96">
        <v>38692.0</v>
      </c>
      <c r="V349" s="97" t="s">
        <v>2504</v>
      </c>
      <c r="W349" s="97" t="s">
        <v>2505</v>
      </c>
      <c r="X349" s="79" t="s">
        <v>2506</v>
      </c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  <c r="AQ349" s="88"/>
      <c r="AR349" s="88"/>
    </row>
    <row r="350" ht="19.5" customHeight="1">
      <c r="A350" s="79">
        <v>339.0</v>
      </c>
      <c r="B350" s="91" t="s">
        <v>31</v>
      </c>
      <c r="C350" s="91" t="s">
        <v>2483</v>
      </c>
      <c r="D350" s="91" t="s">
        <v>2507</v>
      </c>
      <c r="E350" s="92" t="s">
        <v>2508</v>
      </c>
      <c r="F350" s="91" t="s">
        <v>81</v>
      </c>
      <c r="G350" s="80" t="s">
        <v>44</v>
      </c>
      <c r="H350" s="80" t="s">
        <v>21</v>
      </c>
      <c r="I350" s="91" t="s">
        <v>2495</v>
      </c>
      <c r="J350" s="80" t="s">
        <v>45</v>
      </c>
      <c r="K350" s="91" t="s">
        <v>2496</v>
      </c>
      <c r="L350" s="82" t="s">
        <v>2509</v>
      </c>
      <c r="M350" s="83">
        <f t="shared" si="1"/>
        <v>105</v>
      </c>
      <c r="N350" s="84">
        <v>105.0</v>
      </c>
      <c r="O350" s="84"/>
      <c r="P350" s="84"/>
      <c r="Q350" s="94">
        <v>762.0</v>
      </c>
      <c r="R350" s="94">
        <v>574.0</v>
      </c>
      <c r="S350" s="95" t="s">
        <v>350</v>
      </c>
      <c r="T350" s="94">
        <v>1.0</v>
      </c>
      <c r="U350" s="96">
        <v>40456.0</v>
      </c>
      <c r="V350" s="97" t="s">
        <v>2510</v>
      </c>
      <c r="W350" s="97" t="s">
        <v>2511</v>
      </c>
      <c r="X350" s="79" t="s">
        <v>2512</v>
      </c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  <c r="AQ350" s="88"/>
      <c r="AR350" s="88"/>
    </row>
    <row r="351" ht="19.5" customHeight="1">
      <c r="A351" s="79">
        <v>340.0</v>
      </c>
      <c r="B351" s="91" t="s">
        <v>31</v>
      </c>
      <c r="C351" s="91" t="s">
        <v>2483</v>
      </c>
      <c r="D351" s="91" t="s">
        <v>2513</v>
      </c>
      <c r="E351" s="92" t="s">
        <v>2514</v>
      </c>
      <c r="F351" s="91" t="s">
        <v>81</v>
      </c>
      <c r="G351" s="80" t="s">
        <v>44</v>
      </c>
      <c r="H351" s="80" t="s">
        <v>21</v>
      </c>
      <c r="I351" s="91" t="s">
        <v>2495</v>
      </c>
      <c r="J351" s="80" t="s">
        <v>45</v>
      </c>
      <c r="K351" s="91" t="s">
        <v>2496</v>
      </c>
      <c r="L351" s="82" t="s">
        <v>2515</v>
      </c>
      <c r="M351" s="83">
        <f t="shared" si="1"/>
        <v>222</v>
      </c>
      <c r="N351" s="84">
        <v>222.0</v>
      </c>
      <c r="O351" s="84"/>
      <c r="P351" s="84"/>
      <c r="Q351" s="94">
        <v>1113.0</v>
      </c>
      <c r="R351" s="94">
        <v>1113.0</v>
      </c>
      <c r="S351" s="95" t="s">
        <v>2429</v>
      </c>
      <c r="T351" s="94">
        <v>1.0</v>
      </c>
      <c r="U351" s="96">
        <v>40975.0</v>
      </c>
      <c r="V351" s="97" t="s">
        <v>2516</v>
      </c>
      <c r="W351" s="97" t="s">
        <v>2517</v>
      </c>
      <c r="X351" s="79" t="s">
        <v>2518</v>
      </c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  <c r="AQ351" s="88"/>
      <c r="AR351" s="88"/>
    </row>
    <row r="352" ht="19.5" customHeight="1">
      <c r="A352" s="79">
        <v>341.0</v>
      </c>
      <c r="B352" s="91" t="s">
        <v>31</v>
      </c>
      <c r="C352" s="91" t="s">
        <v>2483</v>
      </c>
      <c r="D352" s="91" t="s">
        <v>2519</v>
      </c>
      <c r="E352" s="92" t="s">
        <v>2520</v>
      </c>
      <c r="F352" s="91" t="s">
        <v>81</v>
      </c>
      <c r="G352" s="80" t="s">
        <v>46</v>
      </c>
      <c r="H352" s="80" t="s">
        <v>21</v>
      </c>
      <c r="I352" s="91" t="s">
        <v>2495</v>
      </c>
      <c r="J352" s="80" t="s">
        <v>45</v>
      </c>
      <c r="K352" s="91" t="s">
        <v>2496</v>
      </c>
      <c r="L352" s="82" t="s">
        <v>2521</v>
      </c>
      <c r="M352" s="83">
        <f t="shared" si="1"/>
        <v>337</v>
      </c>
      <c r="N352" s="84"/>
      <c r="O352" s="84">
        <v>217.0</v>
      </c>
      <c r="P352" s="84">
        <v>120.0</v>
      </c>
      <c r="Q352" s="94">
        <v>175958.0</v>
      </c>
      <c r="R352" s="94">
        <v>3914.0</v>
      </c>
      <c r="S352" s="95" t="s">
        <v>103</v>
      </c>
      <c r="T352" s="94">
        <v>1.0</v>
      </c>
      <c r="U352" s="96">
        <v>35096.0</v>
      </c>
      <c r="V352" s="97" t="s">
        <v>2522</v>
      </c>
      <c r="W352" s="97" t="s">
        <v>2523</v>
      </c>
      <c r="X352" s="79" t="s">
        <v>2524</v>
      </c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  <c r="AQ352" s="88"/>
      <c r="AR352" s="88"/>
    </row>
    <row r="353" ht="19.5" customHeight="1">
      <c r="A353" s="79">
        <v>342.0</v>
      </c>
      <c r="B353" s="91" t="s">
        <v>31</v>
      </c>
      <c r="C353" s="91" t="s">
        <v>2483</v>
      </c>
      <c r="D353" s="91" t="s">
        <v>2519</v>
      </c>
      <c r="E353" s="92" t="s">
        <v>2525</v>
      </c>
      <c r="F353" s="91" t="s">
        <v>22</v>
      </c>
      <c r="G353" s="80" t="s">
        <v>12</v>
      </c>
      <c r="H353" s="80" t="s">
        <v>22</v>
      </c>
      <c r="I353" s="91" t="s">
        <v>2526</v>
      </c>
      <c r="J353" s="80" t="s">
        <v>43</v>
      </c>
      <c r="K353" s="91" t="s">
        <v>2527</v>
      </c>
      <c r="L353" s="82" t="s">
        <v>2528</v>
      </c>
      <c r="M353" s="83">
        <f t="shared" si="1"/>
        <v>499</v>
      </c>
      <c r="N353" s="84"/>
      <c r="O353" s="84">
        <v>499.0</v>
      </c>
      <c r="P353" s="84"/>
      <c r="Q353" s="94">
        <v>10321.0</v>
      </c>
      <c r="R353" s="94">
        <v>3086.09</v>
      </c>
      <c r="S353" s="95" t="s">
        <v>103</v>
      </c>
      <c r="T353" s="94">
        <v>2.0</v>
      </c>
      <c r="U353" s="96">
        <v>36678.0</v>
      </c>
      <c r="V353" s="97" t="s">
        <v>2529</v>
      </c>
      <c r="W353" s="97" t="s">
        <v>2530</v>
      </c>
      <c r="X353" s="79" t="s">
        <v>2531</v>
      </c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  <c r="AQ353" s="88"/>
      <c r="AR353" s="88"/>
    </row>
    <row r="354" ht="19.5" customHeight="1">
      <c r="A354" s="79">
        <v>343.0</v>
      </c>
      <c r="B354" s="91" t="s">
        <v>31</v>
      </c>
      <c r="C354" s="91" t="s">
        <v>2483</v>
      </c>
      <c r="D354" s="91" t="s">
        <v>2532</v>
      </c>
      <c r="E354" s="92" t="s">
        <v>2533</v>
      </c>
      <c r="F354" s="91" t="s">
        <v>22</v>
      </c>
      <c r="G354" s="80" t="s">
        <v>12</v>
      </c>
      <c r="H354" s="80" t="s">
        <v>22</v>
      </c>
      <c r="I354" s="91" t="s">
        <v>2534</v>
      </c>
      <c r="J354" s="80" t="s">
        <v>43</v>
      </c>
      <c r="K354" s="91" t="s">
        <v>2534</v>
      </c>
      <c r="L354" s="82" t="s">
        <v>2535</v>
      </c>
      <c r="M354" s="83">
        <f t="shared" si="1"/>
        <v>92</v>
      </c>
      <c r="N354" s="84"/>
      <c r="O354" s="84">
        <v>92.0</v>
      </c>
      <c r="P354" s="84"/>
      <c r="Q354" s="94">
        <v>629.86</v>
      </c>
      <c r="R354" s="94">
        <v>2345.98</v>
      </c>
      <c r="S354" s="95" t="s">
        <v>194</v>
      </c>
      <c r="T354" s="94">
        <v>1.0</v>
      </c>
      <c r="U354" s="96">
        <v>41177.0</v>
      </c>
      <c r="V354" s="97" t="s">
        <v>2536</v>
      </c>
      <c r="W354" s="97" t="s">
        <v>2537</v>
      </c>
      <c r="X354" s="79" t="s">
        <v>2538</v>
      </c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  <c r="AQ354" s="88"/>
      <c r="AR354" s="88"/>
    </row>
    <row r="355" ht="19.5" customHeight="1">
      <c r="A355" s="79">
        <v>344.0</v>
      </c>
      <c r="B355" s="91" t="s">
        <v>31</v>
      </c>
      <c r="C355" s="91" t="s">
        <v>2483</v>
      </c>
      <c r="D355" s="91" t="s">
        <v>2539</v>
      </c>
      <c r="E355" s="92" t="s">
        <v>2540</v>
      </c>
      <c r="F355" s="91" t="s">
        <v>22</v>
      </c>
      <c r="G355" s="80" t="s">
        <v>48</v>
      </c>
      <c r="H355" s="80" t="s">
        <v>22</v>
      </c>
      <c r="I355" s="91" t="s">
        <v>2541</v>
      </c>
      <c r="J355" s="80" t="s">
        <v>43</v>
      </c>
      <c r="K355" s="91" t="s">
        <v>2542</v>
      </c>
      <c r="L355" s="82" t="s">
        <v>2543</v>
      </c>
      <c r="M355" s="83">
        <f t="shared" si="1"/>
        <v>384</v>
      </c>
      <c r="N355" s="84"/>
      <c r="O355" s="84">
        <v>84.0</v>
      </c>
      <c r="P355" s="84">
        <v>300.0</v>
      </c>
      <c r="Q355" s="94">
        <v>165954.0</v>
      </c>
      <c r="R355" s="94">
        <v>1137.0</v>
      </c>
      <c r="S355" s="95" t="s">
        <v>314</v>
      </c>
      <c r="T355" s="94">
        <v>9.0</v>
      </c>
      <c r="U355" s="96">
        <v>42796.0</v>
      </c>
      <c r="V355" s="97" t="s">
        <v>2544</v>
      </c>
      <c r="W355" s="97" t="s">
        <v>2545</v>
      </c>
      <c r="X355" s="79" t="s">
        <v>2546</v>
      </c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  <c r="AQ355" s="88"/>
      <c r="AR355" s="88"/>
    </row>
    <row r="356" ht="19.5" customHeight="1">
      <c r="A356" s="79">
        <v>345.0</v>
      </c>
      <c r="B356" s="91" t="s">
        <v>31</v>
      </c>
      <c r="C356" s="91" t="s">
        <v>2483</v>
      </c>
      <c r="D356" s="91" t="s">
        <v>2547</v>
      </c>
      <c r="E356" s="92" t="s">
        <v>2548</v>
      </c>
      <c r="F356" s="91" t="s">
        <v>22</v>
      </c>
      <c r="G356" s="80" t="s">
        <v>12</v>
      </c>
      <c r="H356" s="80" t="s">
        <v>22</v>
      </c>
      <c r="I356" s="91" t="s">
        <v>2549</v>
      </c>
      <c r="J356" s="80" t="s">
        <v>43</v>
      </c>
      <c r="K356" s="91"/>
      <c r="L356" s="82" t="s">
        <v>2550</v>
      </c>
      <c r="M356" s="83">
        <f t="shared" si="1"/>
        <v>92</v>
      </c>
      <c r="N356" s="84"/>
      <c r="O356" s="84">
        <v>92.0</v>
      </c>
      <c r="P356" s="84"/>
      <c r="Q356" s="94">
        <v>2932.0</v>
      </c>
      <c r="R356" s="94">
        <v>1988.0</v>
      </c>
      <c r="S356" s="95" t="s">
        <v>320</v>
      </c>
      <c r="T356" s="94">
        <v>1.0</v>
      </c>
      <c r="U356" s="96">
        <v>44284.0</v>
      </c>
      <c r="V356" s="97" t="s">
        <v>2551</v>
      </c>
      <c r="W356" s="97"/>
      <c r="X356" s="79" t="s">
        <v>2552</v>
      </c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  <c r="AQ356" s="88"/>
      <c r="AR356" s="88"/>
    </row>
    <row r="357" ht="19.5" customHeight="1">
      <c r="A357" s="79">
        <v>346.0</v>
      </c>
      <c r="B357" s="91" t="s">
        <v>31</v>
      </c>
      <c r="C357" s="95" t="s">
        <v>2553</v>
      </c>
      <c r="D357" s="95" t="s">
        <v>2554</v>
      </c>
      <c r="E357" s="100" t="s">
        <v>2555</v>
      </c>
      <c r="F357" s="95" t="s">
        <v>81</v>
      </c>
      <c r="G357" s="80" t="s">
        <v>42</v>
      </c>
      <c r="H357" s="80" t="s">
        <v>21</v>
      </c>
      <c r="I357" s="95" t="s">
        <v>2556</v>
      </c>
      <c r="J357" s="80" t="s">
        <v>45</v>
      </c>
      <c r="K357" s="95" t="s">
        <v>2557</v>
      </c>
      <c r="L357" s="82" t="s">
        <v>2558</v>
      </c>
      <c r="M357" s="83">
        <f t="shared" si="1"/>
        <v>500</v>
      </c>
      <c r="N357" s="84">
        <v>500.0</v>
      </c>
      <c r="O357" s="84">
        <v>0.0</v>
      </c>
      <c r="P357" s="84">
        <v>0.0</v>
      </c>
      <c r="Q357" s="94">
        <v>14851.0</v>
      </c>
      <c r="R357" s="94">
        <v>5019.0</v>
      </c>
      <c r="S357" s="95" t="s">
        <v>103</v>
      </c>
      <c r="T357" s="94">
        <v>2.0</v>
      </c>
      <c r="U357" s="96">
        <v>39089.0</v>
      </c>
      <c r="V357" s="97" t="s">
        <v>2559</v>
      </c>
      <c r="W357" s="97" t="s">
        <v>2560</v>
      </c>
      <c r="X357" s="79" t="s">
        <v>2561</v>
      </c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  <c r="AQ357" s="88"/>
      <c r="AR357" s="88"/>
    </row>
    <row r="358" ht="19.5" customHeight="1">
      <c r="A358" s="79">
        <v>347.0</v>
      </c>
      <c r="B358" s="91" t="s">
        <v>31</v>
      </c>
      <c r="C358" s="95" t="s">
        <v>2553</v>
      </c>
      <c r="D358" s="95" t="s">
        <v>676</v>
      </c>
      <c r="E358" s="100" t="s">
        <v>2562</v>
      </c>
      <c r="F358" s="95" t="s">
        <v>81</v>
      </c>
      <c r="G358" s="80" t="s">
        <v>44</v>
      </c>
      <c r="H358" s="80" t="s">
        <v>21</v>
      </c>
      <c r="I358" s="95" t="s">
        <v>2556</v>
      </c>
      <c r="J358" s="80" t="s">
        <v>45</v>
      </c>
      <c r="K358" s="95" t="s">
        <v>2557</v>
      </c>
      <c r="L358" s="82" t="s">
        <v>2563</v>
      </c>
      <c r="M358" s="83">
        <f t="shared" si="1"/>
        <v>200</v>
      </c>
      <c r="N358" s="84">
        <v>200.0</v>
      </c>
      <c r="O358" s="84">
        <v>0.0</v>
      </c>
      <c r="P358" s="84">
        <v>0.0</v>
      </c>
      <c r="Q358" s="94">
        <v>1521.0</v>
      </c>
      <c r="R358" s="94">
        <v>1976.0</v>
      </c>
      <c r="S358" s="95" t="s">
        <v>194</v>
      </c>
      <c r="T358" s="94">
        <v>1.0</v>
      </c>
      <c r="U358" s="96">
        <v>43731.0</v>
      </c>
      <c r="V358" s="97" t="s">
        <v>2564</v>
      </c>
      <c r="W358" s="97" t="s">
        <v>2565</v>
      </c>
      <c r="X358" s="79" t="s">
        <v>2566</v>
      </c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  <c r="AQ358" s="88"/>
      <c r="AR358" s="88"/>
    </row>
    <row r="359" ht="19.5" customHeight="1">
      <c r="A359" s="79">
        <v>348.0</v>
      </c>
      <c r="B359" s="91" t="s">
        <v>31</v>
      </c>
      <c r="C359" s="95" t="s">
        <v>2553</v>
      </c>
      <c r="D359" s="95" t="s">
        <v>2567</v>
      </c>
      <c r="E359" s="100" t="s">
        <v>2568</v>
      </c>
      <c r="F359" s="91" t="s">
        <v>81</v>
      </c>
      <c r="G359" s="80" t="s">
        <v>44</v>
      </c>
      <c r="H359" s="80" t="s">
        <v>21</v>
      </c>
      <c r="I359" s="95" t="s">
        <v>2556</v>
      </c>
      <c r="J359" s="80" t="s">
        <v>45</v>
      </c>
      <c r="K359" s="95" t="s">
        <v>2557</v>
      </c>
      <c r="L359" s="82" t="s">
        <v>2569</v>
      </c>
      <c r="M359" s="83">
        <f t="shared" si="1"/>
        <v>120</v>
      </c>
      <c r="N359" s="84">
        <v>120.0</v>
      </c>
      <c r="O359" s="84">
        <v>0.0</v>
      </c>
      <c r="P359" s="84">
        <v>0.0</v>
      </c>
      <c r="Q359" s="94">
        <v>1015.0</v>
      </c>
      <c r="R359" s="94">
        <v>1015.0</v>
      </c>
      <c r="S359" s="95" t="s">
        <v>704</v>
      </c>
      <c r="T359" s="94">
        <v>1.0</v>
      </c>
      <c r="U359" s="96">
        <v>44327.0</v>
      </c>
      <c r="V359" s="97" t="s">
        <v>2570</v>
      </c>
      <c r="W359" s="97" t="s">
        <v>2571</v>
      </c>
      <c r="X359" s="79" t="s">
        <v>2572</v>
      </c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  <c r="AQ359" s="88"/>
      <c r="AR359" s="88"/>
    </row>
    <row r="360" ht="19.5" customHeight="1">
      <c r="A360" s="79">
        <v>349.0</v>
      </c>
      <c r="B360" s="91" t="s">
        <v>31</v>
      </c>
      <c r="C360" s="95" t="s">
        <v>2573</v>
      </c>
      <c r="D360" s="79" t="s">
        <v>2574</v>
      </c>
      <c r="E360" s="102" t="s">
        <v>2575</v>
      </c>
      <c r="F360" s="91" t="s">
        <v>81</v>
      </c>
      <c r="G360" s="80" t="s">
        <v>42</v>
      </c>
      <c r="H360" s="80" t="s">
        <v>21</v>
      </c>
      <c r="I360" s="95" t="s">
        <v>2576</v>
      </c>
      <c r="J360" s="80" t="s">
        <v>45</v>
      </c>
      <c r="K360" s="95" t="s">
        <v>2577</v>
      </c>
      <c r="L360" s="93" t="s">
        <v>2578</v>
      </c>
      <c r="M360" s="83">
        <f t="shared" si="1"/>
        <v>750</v>
      </c>
      <c r="N360" s="84">
        <v>750.0</v>
      </c>
      <c r="O360" s="84">
        <v>0.0</v>
      </c>
      <c r="P360" s="84">
        <v>0.0</v>
      </c>
      <c r="Q360" s="94">
        <v>21899.0</v>
      </c>
      <c r="R360" s="94">
        <v>4826.0</v>
      </c>
      <c r="S360" s="95" t="s">
        <v>103</v>
      </c>
      <c r="T360" s="94">
        <v>5.0</v>
      </c>
      <c r="U360" s="96">
        <v>34341.0</v>
      </c>
      <c r="V360" s="97" t="s">
        <v>2579</v>
      </c>
      <c r="W360" s="97" t="s">
        <v>2580</v>
      </c>
      <c r="X360" s="79" t="s">
        <v>2581</v>
      </c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  <c r="AQ360" s="88"/>
      <c r="AR360" s="88"/>
    </row>
    <row r="361" ht="19.5" customHeight="1">
      <c r="A361" s="79">
        <v>350.0</v>
      </c>
      <c r="B361" s="91" t="s">
        <v>31</v>
      </c>
      <c r="C361" s="91" t="s">
        <v>2573</v>
      </c>
      <c r="D361" s="91" t="s">
        <v>2582</v>
      </c>
      <c r="E361" s="92" t="s">
        <v>2583</v>
      </c>
      <c r="F361" s="91" t="s">
        <v>81</v>
      </c>
      <c r="G361" s="80" t="s">
        <v>44</v>
      </c>
      <c r="H361" s="80" t="s">
        <v>21</v>
      </c>
      <c r="I361" s="91" t="s">
        <v>2576</v>
      </c>
      <c r="J361" s="80" t="s">
        <v>45</v>
      </c>
      <c r="K361" s="91" t="s">
        <v>2577</v>
      </c>
      <c r="L361" s="82" t="s">
        <v>2584</v>
      </c>
      <c r="M361" s="83">
        <f t="shared" si="1"/>
        <v>130</v>
      </c>
      <c r="N361" s="84">
        <v>130.0</v>
      </c>
      <c r="O361" s="84"/>
      <c r="P361" s="84"/>
      <c r="Q361" s="94">
        <v>9533.5</v>
      </c>
      <c r="R361" s="94">
        <v>998.5</v>
      </c>
      <c r="S361" s="95" t="s">
        <v>217</v>
      </c>
      <c r="T361" s="94">
        <v>1.0</v>
      </c>
      <c r="U361" s="96">
        <v>42741.0</v>
      </c>
      <c r="V361" s="97" t="s">
        <v>2585</v>
      </c>
      <c r="W361" s="97" t="s">
        <v>2586</v>
      </c>
      <c r="X361" s="79" t="s">
        <v>2581</v>
      </c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  <c r="AQ361" s="88"/>
      <c r="AR361" s="88"/>
    </row>
    <row r="362" ht="19.5" customHeight="1">
      <c r="A362" s="79">
        <v>351.0</v>
      </c>
      <c r="B362" s="91" t="s">
        <v>31</v>
      </c>
      <c r="C362" s="91" t="s">
        <v>2573</v>
      </c>
      <c r="D362" s="91" t="s">
        <v>2587</v>
      </c>
      <c r="E362" s="92" t="s">
        <v>2588</v>
      </c>
      <c r="F362" s="91" t="s">
        <v>81</v>
      </c>
      <c r="G362" s="80" t="s">
        <v>44</v>
      </c>
      <c r="H362" s="80" t="s">
        <v>21</v>
      </c>
      <c r="I362" s="91" t="s">
        <v>2576</v>
      </c>
      <c r="J362" s="80" t="s">
        <v>45</v>
      </c>
      <c r="K362" s="91" t="s">
        <v>2577</v>
      </c>
      <c r="L362" s="82" t="s">
        <v>2589</v>
      </c>
      <c r="M362" s="83">
        <f t="shared" si="1"/>
        <v>130</v>
      </c>
      <c r="N362" s="84">
        <v>130.0</v>
      </c>
      <c r="O362" s="84"/>
      <c r="P362" s="84"/>
      <c r="Q362" s="94">
        <v>625.9</v>
      </c>
      <c r="R362" s="94">
        <v>999.32</v>
      </c>
      <c r="S362" s="95" t="s">
        <v>103</v>
      </c>
      <c r="T362" s="94">
        <v>1.0</v>
      </c>
      <c r="U362" s="96">
        <v>43613.0</v>
      </c>
      <c r="V362" s="97" t="s">
        <v>2590</v>
      </c>
      <c r="W362" s="97" t="s">
        <v>2591</v>
      </c>
      <c r="X362" s="79" t="s">
        <v>2581</v>
      </c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  <c r="AQ362" s="88"/>
      <c r="AR362" s="88"/>
    </row>
    <row r="363" ht="19.5" customHeight="1">
      <c r="A363" s="79">
        <v>352.0</v>
      </c>
      <c r="B363" s="91" t="s">
        <v>31</v>
      </c>
      <c r="C363" s="91" t="s">
        <v>2573</v>
      </c>
      <c r="D363" s="91" t="s">
        <v>2592</v>
      </c>
      <c r="E363" s="92" t="s">
        <v>2593</v>
      </c>
      <c r="F363" s="91" t="s">
        <v>81</v>
      </c>
      <c r="G363" s="80" t="s">
        <v>44</v>
      </c>
      <c r="H363" s="80" t="s">
        <v>21</v>
      </c>
      <c r="I363" s="91" t="s">
        <v>2576</v>
      </c>
      <c r="J363" s="80" t="s">
        <v>45</v>
      </c>
      <c r="K363" s="91" t="s">
        <v>2577</v>
      </c>
      <c r="L363" s="82" t="s">
        <v>2594</v>
      </c>
      <c r="M363" s="83">
        <f t="shared" si="1"/>
        <v>130</v>
      </c>
      <c r="N363" s="84">
        <v>130.0</v>
      </c>
      <c r="O363" s="84"/>
      <c r="P363" s="84"/>
      <c r="Q363" s="94">
        <v>823.0</v>
      </c>
      <c r="R363" s="94">
        <v>992.0</v>
      </c>
      <c r="S363" s="95" t="s">
        <v>314</v>
      </c>
      <c r="T363" s="94">
        <v>1.0</v>
      </c>
      <c r="U363" s="96">
        <v>45044.0</v>
      </c>
      <c r="V363" s="97" t="s">
        <v>2595</v>
      </c>
      <c r="W363" s="97" t="s">
        <v>2596</v>
      </c>
      <c r="X363" s="79" t="s">
        <v>2581</v>
      </c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  <c r="AQ363" s="88"/>
      <c r="AR363" s="88"/>
    </row>
    <row r="364" ht="19.5" customHeight="1">
      <c r="A364" s="79">
        <v>353.0</v>
      </c>
      <c r="B364" s="91" t="s">
        <v>31</v>
      </c>
      <c r="C364" s="79" t="s">
        <v>2597</v>
      </c>
      <c r="D364" s="79" t="s">
        <v>2598</v>
      </c>
      <c r="E364" s="102" t="s">
        <v>2599</v>
      </c>
      <c r="F364" s="79" t="s">
        <v>22</v>
      </c>
      <c r="G364" s="80" t="s">
        <v>46</v>
      </c>
      <c r="H364" s="80" t="s">
        <v>22</v>
      </c>
      <c r="I364" s="79" t="s">
        <v>2600</v>
      </c>
      <c r="J364" s="80" t="s">
        <v>43</v>
      </c>
      <c r="K364" s="91" t="s">
        <v>2601</v>
      </c>
      <c r="L364" s="93" t="s">
        <v>2602</v>
      </c>
      <c r="M364" s="83">
        <f t="shared" si="1"/>
        <v>420</v>
      </c>
      <c r="N364" s="84">
        <v>0.0</v>
      </c>
      <c r="O364" s="84">
        <v>420.0</v>
      </c>
      <c r="P364" s="84">
        <v>0.0</v>
      </c>
      <c r="Q364" s="94">
        <v>7505.0</v>
      </c>
      <c r="R364" s="94">
        <v>4734.0</v>
      </c>
      <c r="S364" s="95" t="s">
        <v>320</v>
      </c>
      <c r="T364" s="94">
        <v>3.0</v>
      </c>
      <c r="U364" s="96">
        <v>40483.0</v>
      </c>
      <c r="V364" s="97" t="s">
        <v>2603</v>
      </c>
      <c r="W364" s="97" t="s">
        <v>2604</v>
      </c>
      <c r="X364" s="79" t="s">
        <v>2605</v>
      </c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  <c r="AQ364" s="88"/>
      <c r="AR364" s="88"/>
    </row>
    <row r="365" ht="19.5" customHeight="1">
      <c r="A365" s="79">
        <v>354.0</v>
      </c>
      <c r="B365" s="91" t="s">
        <v>31</v>
      </c>
      <c r="C365" s="91" t="s">
        <v>2597</v>
      </c>
      <c r="D365" s="91" t="s">
        <v>2606</v>
      </c>
      <c r="E365" s="92" t="s">
        <v>2607</v>
      </c>
      <c r="F365" s="91" t="s">
        <v>81</v>
      </c>
      <c r="G365" s="80" t="s">
        <v>44</v>
      </c>
      <c r="H365" s="80" t="s">
        <v>21</v>
      </c>
      <c r="I365" s="91" t="s">
        <v>2608</v>
      </c>
      <c r="J365" s="80" t="s">
        <v>45</v>
      </c>
      <c r="K365" s="91" t="s">
        <v>2609</v>
      </c>
      <c r="L365" s="82" t="s">
        <v>2610</v>
      </c>
      <c r="M365" s="83">
        <f t="shared" si="1"/>
        <v>80</v>
      </c>
      <c r="N365" s="84">
        <v>80.0</v>
      </c>
      <c r="O365" s="84">
        <v>0.0</v>
      </c>
      <c r="P365" s="84">
        <v>0.0</v>
      </c>
      <c r="Q365" s="94">
        <v>3168.0</v>
      </c>
      <c r="R365" s="94">
        <v>478.0</v>
      </c>
      <c r="S365" s="95" t="s">
        <v>350</v>
      </c>
      <c r="T365" s="94">
        <v>1.0</v>
      </c>
      <c r="U365" s="96">
        <v>37340.0</v>
      </c>
      <c r="V365" s="97" t="s">
        <v>2611</v>
      </c>
      <c r="W365" s="97" t="s">
        <v>2612</v>
      </c>
      <c r="X365" s="79" t="s">
        <v>2613</v>
      </c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  <c r="AQ365" s="88"/>
      <c r="AR365" s="88"/>
    </row>
    <row r="366" ht="19.5" customHeight="1">
      <c r="A366" s="79">
        <v>355.0</v>
      </c>
      <c r="B366" s="91" t="s">
        <v>31</v>
      </c>
      <c r="C366" s="91" t="s">
        <v>2597</v>
      </c>
      <c r="D366" s="91" t="s">
        <v>2614</v>
      </c>
      <c r="E366" s="92" t="s">
        <v>2615</v>
      </c>
      <c r="F366" s="91" t="s">
        <v>81</v>
      </c>
      <c r="G366" s="80" t="s">
        <v>44</v>
      </c>
      <c r="H366" s="80" t="s">
        <v>21</v>
      </c>
      <c r="I366" s="91" t="s">
        <v>2608</v>
      </c>
      <c r="J366" s="80" t="s">
        <v>45</v>
      </c>
      <c r="K366" s="91" t="s">
        <v>2609</v>
      </c>
      <c r="L366" s="82" t="s">
        <v>2616</v>
      </c>
      <c r="M366" s="83">
        <f t="shared" si="1"/>
        <v>150</v>
      </c>
      <c r="N366" s="84">
        <v>150.0</v>
      </c>
      <c r="O366" s="84">
        <v>0.0</v>
      </c>
      <c r="P366" s="84">
        <v>0.0</v>
      </c>
      <c r="Q366" s="94">
        <v>5809.0</v>
      </c>
      <c r="R366" s="94">
        <v>661.75</v>
      </c>
      <c r="S366" s="95" t="s">
        <v>704</v>
      </c>
      <c r="T366" s="94">
        <v>1.0</v>
      </c>
      <c r="U366" s="96">
        <v>38157.0</v>
      </c>
      <c r="V366" s="97" t="s">
        <v>2617</v>
      </c>
      <c r="W366" s="97" t="s">
        <v>2618</v>
      </c>
      <c r="X366" s="79" t="s">
        <v>2613</v>
      </c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  <c r="AQ366" s="88"/>
      <c r="AR366" s="88"/>
    </row>
    <row r="367" ht="19.5" customHeight="1">
      <c r="A367" s="79">
        <v>356.0</v>
      </c>
      <c r="B367" s="91" t="s">
        <v>31</v>
      </c>
      <c r="C367" s="91" t="s">
        <v>2597</v>
      </c>
      <c r="D367" s="91" t="s">
        <v>2619</v>
      </c>
      <c r="E367" s="92" t="s">
        <v>2620</v>
      </c>
      <c r="F367" s="91" t="s">
        <v>81</v>
      </c>
      <c r="G367" s="80" t="s">
        <v>44</v>
      </c>
      <c r="H367" s="80" t="s">
        <v>21</v>
      </c>
      <c r="I367" s="91" t="s">
        <v>2608</v>
      </c>
      <c r="J367" s="80" t="s">
        <v>45</v>
      </c>
      <c r="K367" s="91" t="s">
        <v>2609</v>
      </c>
      <c r="L367" s="82" t="s">
        <v>2621</v>
      </c>
      <c r="M367" s="83">
        <f t="shared" si="1"/>
        <v>190</v>
      </c>
      <c r="N367" s="84">
        <v>190.0</v>
      </c>
      <c r="O367" s="84">
        <v>0.0</v>
      </c>
      <c r="P367" s="84">
        <v>0.0</v>
      </c>
      <c r="Q367" s="94">
        <v>2378.0</v>
      </c>
      <c r="R367" s="94">
        <v>846.0</v>
      </c>
      <c r="S367" s="95" t="s">
        <v>350</v>
      </c>
      <c r="T367" s="94">
        <v>1.0</v>
      </c>
      <c r="U367" s="96">
        <v>41883.0</v>
      </c>
      <c r="V367" s="97" t="s">
        <v>2622</v>
      </c>
      <c r="W367" s="97" t="s">
        <v>2623</v>
      </c>
      <c r="X367" s="79" t="s">
        <v>2613</v>
      </c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  <c r="AQ367" s="88"/>
      <c r="AR367" s="88"/>
    </row>
    <row r="368" ht="19.5" customHeight="1">
      <c r="A368" s="79">
        <v>357.0</v>
      </c>
      <c r="B368" s="91" t="s">
        <v>31</v>
      </c>
      <c r="C368" s="91" t="s">
        <v>2597</v>
      </c>
      <c r="D368" s="91" t="s">
        <v>2614</v>
      </c>
      <c r="E368" s="92" t="s">
        <v>2624</v>
      </c>
      <c r="F368" s="91" t="s">
        <v>81</v>
      </c>
      <c r="G368" s="80" t="s">
        <v>42</v>
      </c>
      <c r="H368" s="80" t="s">
        <v>21</v>
      </c>
      <c r="I368" s="91" t="s">
        <v>2608</v>
      </c>
      <c r="J368" s="80" t="s">
        <v>45</v>
      </c>
      <c r="K368" s="91" t="s">
        <v>2609</v>
      </c>
      <c r="L368" s="82" t="s">
        <v>2625</v>
      </c>
      <c r="M368" s="83">
        <f t="shared" si="1"/>
        <v>600</v>
      </c>
      <c r="N368" s="84">
        <v>600.0</v>
      </c>
      <c r="O368" s="84">
        <v>0.0</v>
      </c>
      <c r="P368" s="84">
        <v>0.0</v>
      </c>
      <c r="Q368" s="94">
        <v>94919.0</v>
      </c>
      <c r="R368" s="94">
        <v>6102.0</v>
      </c>
      <c r="S368" s="95" t="s">
        <v>380</v>
      </c>
      <c r="T368" s="94">
        <v>1.0</v>
      </c>
      <c r="U368" s="96">
        <v>40984.0</v>
      </c>
      <c r="V368" s="97" t="s">
        <v>2626</v>
      </c>
      <c r="W368" s="97" t="s">
        <v>2627</v>
      </c>
      <c r="X368" s="79" t="s">
        <v>2613</v>
      </c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  <c r="AQ368" s="88"/>
      <c r="AR368" s="88"/>
    </row>
    <row r="369" ht="19.5" customHeight="1">
      <c r="A369" s="79">
        <v>358.0</v>
      </c>
      <c r="B369" s="91" t="s">
        <v>31</v>
      </c>
      <c r="C369" s="91" t="s">
        <v>2628</v>
      </c>
      <c r="D369" s="91" t="s">
        <v>2629</v>
      </c>
      <c r="E369" s="92" t="s">
        <v>2630</v>
      </c>
      <c r="F369" s="91" t="s">
        <v>81</v>
      </c>
      <c r="G369" s="80" t="s">
        <v>44</v>
      </c>
      <c r="H369" s="80" t="s">
        <v>21</v>
      </c>
      <c r="I369" s="91" t="s">
        <v>2631</v>
      </c>
      <c r="J369" s="80" t="s">
        <v>45</v>
      </c>
      <c r="K369" s="91" t="s">
        <v>2632</v>
      </c>
      <c r="L369" s="82" t="s">
        <v>2633</v>
      </c>
      <c r="M369" s="83">
        <f t="shared" si="1"/>
        <v>200</v>
      </c>
      <c r="N369" s="84">
        <v>200.0</v>
      </c>
      <c r="O369" s="84"/>
      <c r="P369" s="84"/>
      <c r="Q369" s="94">
        <v>2029.8</v>
      </c>
      <c r="R369" s="94">
        <v>1110.14</v>
      </c>
      <c r="S369" s="95" t="s">
        <v>724</v>
      </c>
      <c r="T369" s="94">
        <v>1.0</v>
      </c>
      <c r="U369" s="96">
        <v>39469.0</v>
      </c>
      <c r="V369" s="97" t="s">
        <v>2634</v>
      </c>
      <c r="W369" s="97" t="s">
        <v>2635</v>
      </c>
      <c r="X369" s="79" t="s">
        <v>2636</v>
      </c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  <c r="AQ369" s="88"/>
      <c r="AR369" s="88"/>
    </row>
    <row r="370" ht="19.5" customHeight="1">
      <c r="A370" s="79">
        <v>359.0</v>
      </c>
      <c r="B370" s="91" t="s">
        <v>31</v>
      </c>
      <c r="C370" s="95" t="s">
        <v>2628</v>
      </c>
      <c r="D370" s="95" t="s">
        <v>2637</v>
      </c>
      <c r="E370" s="100" t="s">
        <v>2638</v>
      </c>
      <c r="F370" s="95" t="s">
        <v>81</v>
      </c>
      <c r="G370" s="80" t="s">
        <v>44</v>
      </c>
      <c r="H370" s="80" t="s">
        <v>21</v>
      </c>
      <c r="I370" s="95" t="s">
        <v>2631</v>
      </c>
      <c r="J370" s="80" t="s">
        <v>45</v>
      </c>
      <c r="K370" s="95" t="s">
        <v>2632</v>
      </c>
      <c r="L370" s="82" t="s">
        <v>2639</v>
      </c>
      <c r="M370" s="83">
        <f t="shared" si="1"/>
        <v>150</v>
      </c>
      <c r="N370" s="84">
        <v>150.0</v>
      </c>
      <c r="O370" s="84"/>
      <c r="P370" s="84"/>
      <c r="Q370" s="94">
        <v>1387.9</v>
      </c>
      <c r="R370" s="94">
        <v>1252.51</v>
      </c>
      <c r="S370" s="95" t="s">
        <v>2640</v>
      </c>
      <c r="T370" s="94">
        <v>1.0</v>
      </c>
      <c r="U370" s="96">
        <v>38750.0</v>
      </c>
      <c r="V370" s="97" t="s">
        <v>2641</v>
      </c>
      <c r="W370" s="97" t="s">
        <v>2642</v>
      </c>
      <c r="X370" s="79" t="s">
        <v>2643</v>
      </c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  <c r="AQ370" s="88"/>
      <c r="AR370" s="88"/>
    </row>
    <row r="371" ht="19.5" customHeight="1">
      <c r="A371" s="79">
        <v>360.0</v>
      </c>
      <c r="B371" s="91" t="s">
        <v>31</v>
      </c>
      <c r="C371" s="91" t="s">
        <v>2628</v>
      </c>
      <c r="D371" s="91" t="s">
        <v>2644</v>
      </c>
      <c r="E371" s="92" t="s">
        <v>2645</v>
      </c>
      <c r="F371" s="91" t="s">
        <v>81</v>
      </c>
      <c r="G371" s="80" t="s">
        <v>44</v>
      </c>
      <c r="H371" s="80" t="s">
        <v>21</v>
      </c>
      <c r="I371" s="91" t="s">
        <v>2631</v>
      </c>
      <c r="J371" s="80" t="s">
        <v>45</v>
      </c>
      <c r="K371" s="95" t="s">
        <v>2632</v>
      </c>
      <c r="L371" s="82" t="s">
        <v>2646</v>
      </c>
      <c r="M371" s="83">
        <f t="shared" si="1"/>
        <v>0</v>
      </c>
      <c r="N371" s="84"/>
      <c r="O371" s="84">
        <v>0.0</v>
      </c>
      <c r="P371" s="84">
        <v>0.0</v>
      </c>
      <c r="Q371" s="94">
        <v>30419.0</v>
      </c>
      <c r="R371" s="94">
        <v>17848.57</v>
      </c>
      <c r="S371" s="95" t="s">
        <v>2647</v>
      </c>
      <c r="T371" s="94">
        <v>1.0</v>
      </c>
      <c r="U371" s="96">
        <v>44287.0</v>
      </c>
      <c r="V371" s="97" t="s">
        <v>2648</v>
      </c>
      <c r="W371" s="97" t="s">
        <v>2649</v>
      </c>
      <c r="X371" s="79" t="s">
        <v>2650</v>
      </c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  <c r="AQ371" s="88"/>
      <c r="AR371" s="88"/>
    </row>
    <row r="372" ht="19.5" customHeight="1">
      <c r="A372" s="79">
        <v>361.0</v>
      </c>
      <c r="B372" s="91" t="s">
        <v>31</v>
      </c>
      <c r="C372" s="91" t="s">
        <v>2628</v>
      </c>
      <c r="D372" s="91" t="s">
        <v>2651</v>
      </c>
      <c r="E372" s="92" t="s">
        <v>2652</v>
      </c>
      <c r="F372" s="91" t="s">
        <v>22</v>
      </c>
      <c r="G372" s="80" t="s">
        <v>46</v>
      </c>
      <c r="H372" s="80" t="s">
        <v>22</v>
      </c>
      <c r="I372" s="91" t="s">
        <v>2653</v>
      </c>
      <c r="J372" s="80" t="s">
        <v>43</v>
      </c>
      <c r="K372" s="95" t="s">
        <v>2653</v>
      </c>
      <c r="L372" s="82" t="s">
        <v>2654</v>
      </c>
      <c r="M372" s="83">
        <f t="shared" si="1"/>
        <v>1280</v>
      </c>
      <c r="N372" s="84"/>
      <c r="O372" s="84">
        <v>1280.0</v>
      </c>
      <c r="P372" s="84"/>
      <c r="Q372" s="94">
        <v>41762.0</v>
      </c>
      <c r="R372" s="94">
        <v>22282.0</v>
      </c>
      <c r="S372" s="95" t="s">
        <v>112</v>
      </c>
      <c r="T372" s="94">
        <v>3.0</v>
      </c>
      <c r="U372" s="96">
        <v>38175.0</v>
      </c>
      <c r="V372" s="97" t="s">
        <v>2655</v>
      </c>
      <c r="W372" s="97" t="s">
        <v>2656</v>
      </c>
      <c r="X372" s="79" t="s">
        <v>2657</v>
      </c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  <c r="AQ372" s="88"/>
      <c r="AR372" s="88"/>
    </row>
    <row r="373" ht="19.5" customHeight="1">
      <c r="A373" s="79">
        <v>362.0</v>
      </c>
      <c r="B373" s="91" t="s">
        <v>31</v>
      </c>
      <c r="C373" s="91" t="s">
        <v>2628</v>
      </c>
      <c r="D373" s="91" t="s">
        <v>2658</v>
      </c>
      <c r="E373" s="92" t="s">
        <v>2659</v>
      </c>
      <c r="F373" s="91" t="s">
        <v>81</v>
      </c>
      <c r="G373" s="80" t="s">
        <v>44</v>
      </c>
      <c r="H373" s="80" t="s">
        <v>21</v>
      </c>
      <c r="I373" s="91" t="s">
        <v>2631</v>
      </c>
      <c r="J373" s="80" t="s">
        <v>45</v>
      </c>
      <c r="K373" s="91" t="s">
        <v>2632</v>
      </c>
      <c r="L373" s="82" t="s">
        <v>2660</v>
      </c>
      <c r="M373" s="83">
        <f t="shared" si="1"/>
        <v>200</v>
      </c>
      <c r="N373" s="84">
        <v>200.0</v>
      </c>
      <c r="O373" s="84"/>
      <c r="P373" s="84"/>
      <c r="Q373" s="94">
        <v>14915.0</v>
      </c>
      <c r="R373" s="94">
        <v>853.0</v>
      </c>
      <c r="S373" s="95" t="s">
        <v>350</v>
      </c>
      <c r="T373" s="94">
        <v>1.0</v>
      </c>
      <c r="U373" s="96">
        <v>41347.0</v>
      </c>
      <c r="V373" s="97" t="s">
        <v>2661</v>
      </c>
      <c r="W373" s="97" t="s">
        <v>2662</v>
      </c>
      <c r="X373" s="79" t="s">
        <v>2663</v>
      </c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  <c r="AQ373" s="88"/>
      <c r="AR373" s="88"/>
    </row>
    <row r="374" ht="19.5" customHeight="1">
      <c r="A374" s="79">
        <v>363.0</v>
      </c>
      <c r="B374" s="91" t="s">
        <v>31</v>
      </c>
      <c r="C374" s="91" t="s">
        <v>2628</v>
      </c>
      <c r="D374" s="91" t="s">
        <v>2664</v>
      </c>
      <c r="E374" s="92" t="s">
        <v>2665</v>
      </c>
      <c r="F374" s="91" t="s">
        <v>1807</v>
      </c>
      <c r="G374" s="80" t="s">
        <v>12</v>
      </c>
      <c r="H374" s="80" t="s">
        <v>21</v>
      </c>
      <c r="I374" s="91" t="s">
        <v>1808</v>
      </c>
      <c r="J374" s="80" t="s">
        <v>47</v>
      </c>
      <c r="K374" s="95" t="s">
        <v>2666</v>
      </c>
      <c r="L374" s="82" t="s">
        <v>2667</v>
      </c>
      <c r="M374" s="83">
        <f t="shared" si="1"/>
        <v>240</v>
      </c>
      <c r="N374" s="84"/>
      <c r="O374" s="84">
        <v>240.0</v>
      </c>
      <c r="P374" s="84"/>
      <c r="Q374" s="94">
        <v>2829.0</v>
      </c>
      <c r="R374" s="94">
        <v>3325.0</v>
      </c>
      <c r="S374" s="95" t="s">
        <v>217</v>
      </c>
      <c r="T374" s="94">
        <v>1.0</v>
      </c>
      <c r="U374" s="96">
        <v>41600.0</v>
      </c>
      <c r="V374" s="97" t="s">
        <v>2668</v>
      </c>
      <c r="W374" s="97" t="s">
        <v>2669</v>
      </c>
      <c r="X374" s="79" t="s">
        <v>2670</v>
      </c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  <c r="AQ374" s="88"/>
      <c r="AR374" s="88"/>
    </row>
    <row r="375" ht="19.5" customHeight="1">
      <c r="A375" s="79">
        <v>364.0</v>
      </c>
      <c r="B375" s="91" t="s">
        <v>31</v>
      </c>
      <c r="C375" s="91" t="s">
        <v>2628</v>
      </c>
      <c r="D375" s="91" t="s">
        <v>2644</v>
      </c>
      <c r="E375" s="92" t="s">
        <v>2671</v>
      </c>
      <c r="F375" s="91" t="s">
        <v>81</v>
      </c>
      <c r="G375" s="80" t="s">
        <v>42</v>
      </c>
      <c r="H375" s="80" t="s">
        <v>21</v>
      </c>
      <c r="I375" s="91" t="s">
        <v>2631</v>
      </c>
      <c r="J375" s="80" t="s">
        <v>45</v>
      </c>
      <c r="K375" s="91" t="s">
        <v>2632</v>
      </c>
      <c r="L375" s="82" t="s">
        <v>2646</v>
      </c>
      <c r="M375" s="83">
        <f t="shared" si="1"/>
        <v>488</v>
      </c>
      <c r="N375" s="84">
        <v>488.0</v>
      </c>
      <c r="O375" s="84"/>
      <c r="P375" s="84"/>
      <c r="Q375" s="94">
        <v>30418.8</v>
      </c>
      <c r="R375" s="94">
        <v>7304.86</v>
      </c>
      <c r="S375" s="95" t="s">
        <v>590</v>
      </c>
      <c r="T375" s="94">
        <v>1.0</v>
      </c>
      <c r="U375" s="96">
        <v>45288.0</v>
      </c>
      <c r="V375" s="97" t="s">
        <v>2672</v>
      </c>
      <c r="W375" s="97" t="s">
        <v>2649</v>
      </c>
      <c r="X375" s="79" t="s">
        <v>2673</v>
      </c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  <c r="AQ375" s="88"/>
      <c r="AR375" s="88"/>
    </row>
    <row r="376" ht="19.5" customHeight="1">
      <c r="A376" s="79">
        <v>365.0</v>
      </c>
      <c r="B376" s="91" t="s">
        <v>31</v>
      </c>
      <c r="C376" s="91" t="s">
        <v>2674</v>
      </c>
      <c r="D376" s="91" t="s">
        <v>2675</v>
      </c>
      <c r="E376" s="92" t="s">
        <v>2676</v>
      </c>
      <c r="F376" s="91" t="s">
        <v>81</v>
      </c>
      <c r="G376" s="80" t="s">
        <v>44</v>
      </c>
      <c r="H376" s="80" t="s">
        <v>21</v>
      </c>
      <c r="I376" s="91" t="s">
        <v>2677</v>
      </c>
      <c r="J376" s="80" t="s">
        <v>45</v>
      </c>
      <c r="K376" s="91" t="s">
        <v>2678</v>
      </c>
      <c r="L376" s="82" t="s">
        <v>2679</v>
      </c>
      <c r="M376" s="83">
        <f t="shared" si="1"/>
        <v>100</v>
      </c>
      <c r="N376" s="84">
        <v>100.0</v>
      </c>
      <c r="O376" s="84"/>
      <c r="P376" s="84"/>
      <c r="Q376" s="94">
        <v>1443.0</v>
      </c>
      <c r="R376" s="94">
        <v>890.0</v>
      </c>
      <c r="S376" s="95" t="s">
        <v>2680</v>
      </c>
      <c r="T376" s="94">
        <v>1.0</v>
      </c>
      <c r="U376" s="96">
        <v>38290.0</v>
      </c>
      <c r="V376" s="97" t="s">
        <v>2681</v>
      </c>
      <c r="W376" s="97" t="s">
        <v>2682</v>
      </c>
      <c r="X376" s="79" t="s">
        <v>2683</v>
      </c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  <c r="AQ376" s="88"/>
      <c r="AR376" s="88"/>
    </row>
    <row r="377" ht="19.5" customHeight="1">
      <c r="A377" s="79">
        <v>366.0</v>
      </c>
      <c r="B377" s="91" t="s">
        <v>31</v>
      </c>
      <c r="C377" s="91" t="s">
        <v>2674</v>
      </c>
      <c r="D377" s="91" t="s">
        <v>2684</v>
      </c>
      <c r="E377" s="92" t="s">
        <v>2685</v>
      </c>
      <c r="F377" s="91" t="s">
        <v>81</v>
      </c>
      <c r="G377" s="80" t="s">
        <v>44</v>
      </c>
      <c r="H377" s="80" t="s">
        <v>21</v>
      </c>
      <c r="I377" s="91" t="s">
        <v>2677</v>
      </c>
      <c r="J377" s="80" t="s">
        <v>45</v>
      </c>
      <c r="K377" s="91" t="s">
        <v>2678</v>
      </c>
      <c r="L377" s="82" t="s">
        <v>2686</v>
      </c>
      <c r="M377" s="83">
        <f t="shared" si="1"/>
        <v>120</v>
      </c>
      <c r="N377" s="84">
        <v>120.0</v>
      </c>
      <c r="O377" s="84"/>
      <c r="P377" s="84"/>
      <c r="Q377" s="94">
        <v>1500.0</v>
      </c>
      <c r="R377" s="94">
        <v>588.0</v>
      </c>
      <c r="S377" s="95" t="s">
        <v>2687</v>
      </c>
      <c r="T377" s="94">
        <v>1.0</v>
      </c>
      <c r="U377" s="96">
        <v>36462.0</v>
      </c>
      <c r="V377" s="97" t="s">
        <v>2688</v>
      </c>
      <c r="W377" s="97" t="s">
        <v>2689</v>
      </c>
      <c r="X377" s="79" t="s">
        <v>2690</v>
      </c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  <c r="AQ377" s="88"/>
      <c r="AR377" s="88"/>
    </row>
    <row r="378" ht="19.5" customHeight="1">
      <c r="A378" s="79">
        <v>367.0</v>
      </c>
      <c r="B378" s="91" t="s">
        <v>31</v>
      </c>
      <c r="C378" s="91" t="s">
        <v>2674</v>
      </c>
      <c r="D378" s="91" t="s">
        <v>2691</v>
      </c>
      <c r="E378" s="92" t="s">
        <v>2692</v>
      </c>
      <c r="F378" s="91" t="s">
        <v>81</v>
      </c>
      <c r="G378" s="80" t="s">
        <v>44</v>
      </c>
      <c r="H378" s="80" t="s">
        <v>21</v>
      </c>
      <c r="I378" s="91" t="s">
        <v>2677</v>
      </c>
      <c r="J378" s="80" t="s">
        <v>45</v>
      </c>
      <c r="K378" s="91" t="s">
        <v>2693</v>
      </c>
      <c r="L378" s="82" t="s">
        <v>2694</v>
      </c>
      <c r="M378" s="83">
        <f t="shared" si="1"/>
        <v>140</v>
      </c>
      <c r="N378" s="84">
        <v>140.0</v>
      </c>
      <c r="O378" s="84">
        <v>0.0</v>
      </c>
      <c r="P378" s="84">
        <v>0.0</v>
      </c>
      <c r="Q378" s="94">
        <v>2065.0</v>
      </c>
      <c r="R378" s="94">
        <v>682.0</v>
      </c>
      <c r="S378" s="95" t="s">
        <v>291</v>
      </c>
      <c r="T378" s="94">
        <v>1.0</v>
      </c>
      <c r="U378" s="96">
        <v>35798.0</v>
      </c>
      <c r="V378" s="97" t="s">
        <v>2695</v>
      </c>
      <c r="W378" s="97" t="s">
        <v>2696</v>
      </c>
      <c r="X378" s="79" t="s">
        <v>2697</v>
      </c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  <c r="AQ378" s="88"/>
      <c r="AR378" s="88"/>
    </row>
    <row r="379" ht="19.5" customHeight="1">
      <c r="A379" s="79">
        <v>368.0</v>
      </c>
      <c r="B379" s="91" t="s">
        <v>31</v>
      </c>
      <c r="C379" s="95" t="s">
        <v>2674</v>
      </c>
      <c r="D379" s="95" t="s">
        <v>2698</v>
      </c>
      <c r="E379" s="100" t="s">
        <v>2699</v>
      </c>
      <c r="F379" s="95" t="s">
        <v>81</v>
      </c>
      <c r="G379" s="80" t="s">
        <v>44</v>
      </c>
      <c r="H379" s="80" t="s">
        <v>21</v>
      </c>
      <c r="I379" s="95" t="s">
        <v>2677</v>
      </c>
      <c r="J379" s="80" t="s">
        <v>45</v>
      </c>
      <c r="K379" s="95" t="s">
        <v>2678</v>
      </c>
      <c r="L379" s="82" t="s">
        <v>2700</v>
      </c>
      <c r="M379" s="83">
        <f t="shared" si="1"/>
        <v>40</v>
      </c>
      <c r="N379" s="84">
        <v>40.0</v>
      </c>
      <c r="O379" s="84"/>
      <c r="P379" s="84"/>
      <c r="Q379" s="94">
        <v>6741.9</v>
      </c>
      <c r="R379" s="94">
        <v>254.88</v>
      </c>
      <c r="S379" s="95" t="s">
        <v>217</v>
      </c>
      <c r="T379" s="94">
        <v>1.0</v>
      </c>
      <c r="U379" s="96">
        <v>44988.0</v>
      </c>
      <c r="V379" s="97" t="s">
        <v>2701</v>
      </c>
      <c r="W379" s="97" t="s">
        <v>2702</v>
      </c>
      <c r="X379" s="79" t="s">
        <v>2703</v>
      </c>
      <c r="Y379" s="98"/>
      <c r="Z379" s="98"/>
      <c r="AA379" s="98"/>
      <c r="AB379" s="98"/>
      <c r="AC379" s="98"/>
      <c r="AD379" s="98"/>
      <c r="AE379" s="98"/>
      <c r="AF379" s="98"/>
      <c r="AG379" s="98"/>
      <c r="AH379" s="98"/>
      <c r="AI379" s="98"/>
      <c r="AJ379" s="98"/>
      <c r="AK379" s="98"/>
      <c r="AL379" s="98"/>
      <c r="AM379" s="98"/>
      <c r="AN379" s="98"/>
      <c r="AO379" s="98"/>
      <c r="AP379" s="98"/>
      <c r="AQ379" s="98"/>
      <c r="AR379" s="98"/>
    </row>
    <row r="380" ht="19.5" customHeight="1">
      <c r="A380" s="79">
        <v>369.0</v>
      </c>
      <c r="B380" s="91" t="s">
        <v>31</v>
      </c>
      <c r="C380" s="91" t="s">
        <v>2674</v>
      </c>
      <c r="D380" s="91" t="s">
        <v>2704</v>
      </c>
      <c r="E380" s="92" t="s">
        <v>2705</v>
      </c>
      <c r="F380" s="91" t="s">
        <v>81</v>
      </c>
      <c r="G380" s="80" t="s">
        <v>44</v>
      </c>
      <c r="H380" s="80" t="s">
        <v>21</v>
      </c>
      <c r="I380" s="91" t="s">
        <v>2677</v>
      </c>
      <c r="J380" s="80" t="s">
        <v>45</v>
      </c>
      <c r="K380" s="91" t="s">
        <v>2706</v>
      </c>
      <c r="L380" s="82" t="s">
        <v>2707</v>
      </c>
      <c r="M380" s="83">
        <f t="shared" si="1"/>
        <v>80</v>
      </c>
      <c r="N380" s="84">
        <v>80.0</v>
      </c>
      <c r="O380" s="84"/>
      <c r="P380" s="84"/>
      <c r="Q380" s="94">
        <v>708.0</v>
      </c>
      <c r="R380" s="94">
        <v>1148.0</v>
      </c>
      <c r="S380" s="95" t="s">
        <v>2708</v>
      </c>
      <c r="T380" s="94">
        <v>1.0</v>
      </c>
      <c r="U380" s="96">
        <v>42153.0</v>
      </c>
      <c r="V380" s="97" t="s">
        <v>2709</v>
      </c>
      <c r="W380" s="97" t="s">
        <v>2710</v>
      </c>
      <c r="X380" s="79" t="s">
        <v>2711</v>
      </c>
      <c r="Y380" s="98"/>
      <c r="Z380" s="98"/>
      <c r="AA380" s="98"/>
      <c r="AB380" s="98"/>
      <c r="AC380" s="98"/>
      <c r="AD380" s="98"/>
      <c r="AE380" s="98"/>
      <c r="AF380" s="98"/>
      <c r="AG380" s="98"/>
      <c r="AH380" s="98"/>
      <c r="AI380" s="98"/>
      <c r="AJ380" s="98"/>
      <c r="AK380" s="98"/>
      <c r="AL380" s="98"/>
      <c r="AM380" s="98"/>
      <c r="AN380" s="98"/>
      <c r="AO380" s="98"/>
      <c r="AP380" s="98"/>
      <c r="AQ380" s="98"/>
      <c r="AR380" s="98"/>
    </row>
    <row r="381" ht="19.5" customHeight="1">
      <c r="A381" s="79">
        <v>370.0</v>
      </c>
      <c r="B381" s="91" t="s">
        <v>31</v>
      </c>
      <c r="C381" s="91" t="s">
        <v>2674</v>
      </c>
      <c r="D381" s="91" t="s">
        <v>2712</v>
      </c>
      <c r="E381" s="92" t="s">
        <v>2713</v>
      </c>
      <c r="F381" s="91" t="s">
        <v>81</v>
      </c>
      <c r="G381" s="80" t="s">
        <v>42</v>
      </c>
      <c r="H381" s="80" t="s">
        <v>21</v>
      </c>
      <c r="I381" s="91" t="s">
        <v>2677</v>
      </c>
      <c r="J381" s="80" t="s">
        <v>45</v>
      </c>
      <c r="K381" s="91" t="s">
        <v>2678</v>
      </c>
      <c r="L381" s="82" t="s">
        <v>2714</v>
      </c>
      <c r="M381" s="83">
        <f t="shared" si="1"/>
        <v>740</v>
      </c>
      <c r="N381" s="84">
        <v>740.0</v>
      </c>
      <c r="O381" s="84"/>
      <c r="P381" s="84"/>
      <c r="Q381" s="94">
        <v>12943.0</v>
      </c>
      <c r="R381" s="94">
        <v>10154.0</v>
      </c>
      <c r="S381" s="95" t="s">
        <v>373</v>
      </c>
      <c r="T381" s="94">
        <v>1.0</v>
      </c>
      <c r="U381" s="96">
        <v>37212.0</v>
      </c>
      <c r="V381" s="97" t="s">
        <v>2715</v>
      </c>
      <c r="W381" s="97" t="s">
        <v>2716</v>
      </c>
      <c r="X381" s="79" t="s">
        <v>2717</v>
      </c>
      <c r="Y381" s="98"/>
      <c r="Z381" s="98"/>
      <c r="AA381" s="98"/>
      <c r="AB381" s="98"/>
      <c r="AC381" s="98"/>
      <c r="AD381" s="98"/>
      <c r="AE381" s="98"/>
      <c r="AF381" s="98"/>
      <c r="AG381" s="98"/>
      <c r="AH381" s="98"/>
      <c r="AI381" s="98"/>
      <c r="AJ381" s="98"/>
      <c r="AK381" s="98"/>
      <c r="AL381" s="98"/>
      <c r="AM381" s="98"/>
      <c r="AN381" s="98"/>
      <c r="AO381" s="98"/>
      <c r="AP381" s="98"/>
      <c r="AQ381" s="98"/>
      <c r="AR381" s="98"/>
    </row>
    <row r="382" ht="19.5" customHeight="1">
      <c r="A382" s="79">
        <v>371.0</v>
      </c>
      <c r="B382" s="91" t="s">
        <v>31</v>
      </c>
      <c r="C382" s="95" t="s">
        <v>2674</v>
      </c>
      <c r="D382" s="95" t="s">
        <v>2718</v>
      </c>
      <c r="E382" s="100" t="s">
        <v>2719</v>
      </c>
      <c r="F382" s="95" t="s">
        <v>81</v>
      </c>
      <c r="G382" s="80" t="s">
        <v>46</v>
      </c>
      <c r="H382" s="80" t="s">
        <v>21</v>
      </c>
      <c r="I382" s="95" t="s">
        <v>2677</v>
      </c>
      <c r="J382" s="80" t="s">
        <v>45</v>
      </c>
      <c r="K382" s="91" t="s">
        <v>2678</v>
      </c>
      <c r="L382" s="82" t="s">
        <v>2720</v>
      </c>
      <c r="M382" s="83">
        <f t="shared" si="1"/>
        <v>536</v>
      </c>
      <c r="N382" s="84"/>
      <c r="O382" s="84">
        <v>536.0</v>
      </c>
      <c r="P382" s="84"/>
      <c r="Q382" s="94">
        <v>134846.0</v>
      </c>
      <c r="R382" s="94">
        <v>7590.0</v>
      </c>
      <c r="S382" s="95" t="s">
        <v>103</v>
      </c>
      <c r="T382" s="94">
        <v>12.0</v>
      </c>
      <c r="U382" s="96">
        <v>36557.0</v>
      </c>
      <c r="V382" s="97" t="s">
        <v>2721</v>
      </c>
      <c r="W382" s="97" t="s">
        <v>2722</v>
      </c>
      <c r="X382" s="79" t="s">
        <v>2723</v>
      </c>
      <c r="Y382" s="98"/>
      <c r="Z382" s="98"/>
      <c r="AA382" s="98"/>
      <c r="AB382" s="98"/>
      <c r="AC382" s="98"/>
      <c r="AD382" s="98"/>
      <c r="AE382" s="98"/>
      <c r="AF382" s="98"/>
      <c r="AG382" s="98"/>
      <c r="AH382" s="98"/>
      <c r="AI382" s="98"/>
      <c r="AJ382" s="98"/>
      <c r="AK382" s="98"/>
      <c r="AL382" s="98"/>
      <c r="AM382" s="98"/>
      <c r="AN382" s="98"/>
      <c r="AO382" s="98"/>
      <c r="AP382" s="98"/>
      <c r="AQ382" s="98"/>
      <c r="AR382" s="98"/>
    </row>
    <row r="383" ht="19.5" customHeight="1">
      <c r="A383" s="79">
        <v>372.0</v>
      </c>
      <c r="B383" s="91" t="s">
        <v>31</v>
      </c>
      <c r="C383" s="91" t="s">
        <v>2674</v>
      </c>
      <c r="D383" s="91" t="s">
        <v>2724</v>
      </c>
      <c r="E383" s="92" t="s">
        <v>2725</v>
      </c>
      <c r="F383" s="91" t="s">
        <v>22</v>
      </c>
      <c r="G383" s="80" t="s">
        <v>12</v>
      </c>
      <c r="H383" s="80" t="s">
        <v>22</v>
      </c>
      <c r="I383" s="91" t="s">
        <v>2726</v>
      </c>
      <c r="J383" s="80" t="s">
        <v>43</v>
      </c>
      <c r="K383" s="91" t="s">
        <v>2726</v>
      </c>
      <c r="L383" s="82" t="s">
        <v>2727</v>
      </c>
      <c r="M383" s="83">
        <f t="shared" si="1"/>
        <v>520</v>
      </c>
      <c r="N383" s="84"/>
      <c r="O383" s="84">
        <v>440.0</v>
      </c>
      <c r="P383" s="84">
        <v>80.0</v>
      </c>
      <c r="Q383" s="94">
        <v>29888.0</v>
      </c>
      <c r="R383" s="94">
        <v>2834.0</v>
      </c>
      <c r="S383" s="95" t="s">
        <v>314</v>
      </c>
      <c r="T383" s="94">
        <v>1.0</v>
      </c>
      <c r="U383" s="96">
        <v>37996.0</v>
      </c>
      <c r="V383" s="97" t="s">
        <v>2728</v>
      </c>
      <c r="W383" s="97"/>
      <c r="X383" s="79"/>
      <c r="Y383" s="98"/>
      <c r="Z383" s="98"/>
      <c r="AA383" s="98"/>
      <c r="AB383" s="98"/>
      <c r="AC383" s="98"/>
      <c r="AD383" s="98"/>
      <c r="AE383" s="98"/>
      <c r="AF383" s="98"/>
      <c r="AG383" s="98"/>
      <c r="AH383" s="98"/>
      <c r="AI383" s="98"/>
      <c r="AJ383" s="98"/>
      <c r="AK383" s="98"/>
      <c r="AL383" s="98"/>
      <c r="AM383" s="98"/>
      <c r="AN383" s="98"/>
      <c r="AO383" s="98"/>
      <c r="AP383" s="98"/>
      <c r="AQ383" s="98"/>
      <c r="AR383" s="98"/>
    </row>
    <row r="384" ht="19.5" customHeight="1">
      <c r="A384" s="79">
        <v>373.0</v>
      </c>
      <c r="B384" s="91" t="s">
        <v>31</v>
      </c>
      <c r="C384" s="91" t="s">
        <v>2729</v>
      </c>
      <c r="D384" s="91" t="s">
        <v>2730</v>
      </c>
      <c r="E384" s="92" t="s">
        <v>2731</v>
      </c>
      <c r="F384" s="91" t="s">
        <v>81</v>
      </c>
      <c r="G384" s="80" t="s">
        <v>42</v>
      </c>
      <c r="H384" s="80" t="s">
        <v>21</v>
      </c>
      <c r="I384" s="91" t="s">
        <v>2732</v>
      </c>
      <c r="J384" s="80" t="s">
        <v>45</v>
      </c>
      <c r="K384" s="91" t="s">
        <v>2733</v>
      </c>
      <c r="L384" s="82" t="s">
        <v>2734</v>
      </c>
      <c r="M384" s="83">
        <f t="shared" si="1"/>
        <v>300</v>
      </c>
      <c r="N384" s="84">
        <v>300.0</v>
      </c>
      <c r="O384" s="84">
        <v>0.0</v>
      </c>
      <c r="P384" s="84">
        <v>0.0</v>
      </c>
      <c r="Q384" s="94">
        <v>11272.0</v>
      </c>
      <c r="R384" s="94">
        <v>4722.41</v>
      </c>
      <c r="S384" s="95" t="s">
        <v>103</v>
      </c>
      <c r="T384" s="94">
        <v>2.0</v>
      </c>
      <c r="U384" s="96">
        <v>39888.0</v>
      </c>
      <c r="V384" s="97" t="s">
        <v>2735</v>
      </c>
      <c r="W384" s="97" t="s">
        <v>2736</v>
      </c>
      <c r="X384" s="79" t="s">
        <v>2737</v>
      </c>
      <c r="Y384" s="98"/>
      <c r="Z384" s="98"/>
      <c r="AA384" s="98"/>
      <c r="AB384" s="98"/>
      <c r="AC384" s="98"/>
      <c r="AD384" s="98"/>
      <c r="AE384" s="98"/>
      <c r="AF384" s="98"/>
      <c r="AG384" s="98"/>
      <c r="AH384" s="98"/>
      <c r="AI384" s="98"/>
      <c r="AJ384" s="98"/>
      <c r="AK384" s="98"/>
      <c r="AL384" s="98"/>
      <c r="AM384" s="98"/>
      <c r="AN384" s="98"/>
      <c r="AO384" s="98"/>
      <c r="AP384" s="98"/>
      <c r="AQ384" s="98"/>
      <c r="AR384" s="98"/>
    </row>
    <row r="385" ht="19.5" customHeight="1">
      <c r="A385" s="79">
        <v>374.0</v>
      </c>
      <c r="B385" s="91" t="s">
        <v>31</v>
      </c>
      <c r="C385" s="91" t="s">
        <v>2729</v>
      </c>
      <c r="D385" s="91" t="s">
        <v>2738</v>
      </c>
      <c r="E385" s="92" t="s">
        <v>2739</v>
      </c>
      <c r="F385" s="91" t="s">
        <v>22</v>
      </c>
      <c r="G385" s="80" t="s">
        <v>46</v>
      </c>
      <c r="H385" s="80" t="s">
        <v>22</v>
      </c>
      <c r="I385" s="91" t="s">
        <v>2740</v>
      </c>
      <c r="J385" s="80" t="s">
        <v>43</v>
      </c>
      <c r="K385" s="91" t="s">
        <v>2741</v>
      </c>
      <c r="L385" s="82" t="s">
        <v>2742</v>
      </c>
      <c r="M385" s="83">
        <f t="shared" si="1"/>
        <v>500</v>
      </c>
      <c r="N385" s="84">
        <v>0.0</v>
      </c>
      <c r="O385" s="84">
        <v>470.0</v>
      </c>
      <c r="P385" s="84">
        <v>30.0</v>
      </c>
      <c r="Q385" s="94">
        <v>17772.0</v>
      </c>
      <c r="R385" s="94">
        <v>5310.19</v>
      </c>
      <c r="S385" s="95" t="s">
        <v>85</v>
      </c>
      <c r="T385" s="94">
        <v>2.0</v>
      </c>
      <c r="U385" s="96">
        <v>38000.0</v>
      </c>
      <c r="V385" s="97" t="s">
        <v>2743</v>
      </c>
      <c r="W385" s="97" t="s">
        <v>2744</v>
      </c>
      <c r="X385" s="79" t="s">
        <v>2745</v>
      </c>
      <c r="Y385" s="98"/>
      <c r="Z385" s="98"/>
      <c r="AA385" s="98"/>
      <c r="AB385" s="98"/>
      <c r="AC385" s="98"/>
      <c r="AD385" s="98"/>
      <c r="AE385" s="98"/>
      <c r="AF385" s="98"/>
      <c r="AG385" s="98"/>
      <c r="AH385" s="98"/>
      <c r="AI385" s="98"/>
      <c r="AJ385" s="98"/>
      <c r="AK385" s="98"/>
      <c r="AL385" s="98"/>
      <c r="AM385" s="98"/>
      <c r="AN385" s="98"/>
      <c r="AO385" s="98"/>
      <c r="AP385" s="98"/>
      <c r="AQ385" s="98"/>
      <c r="AR385" s="98"/>
    </row>
    <row r="386" ht="19.5" customHeight="1">
      <c r="A386" s="79">
        <v>375.0</v>
      </c>
      <c r="B386" s="91" t="s">
        <v>31</v>
      </c>
      <c r="C386" s="91" t="s">
        <v>2729</v>
      </c>
      <c r="D386" s="91" t="s">
        <v>2746</v>
      </c>
      <c r="E386" s="92" t="s">
        <v>2747</v>
      </c>
      <c r="F386" s="91" t="s">
        <v>22</v>
      </c>
      <c r="G386" s="80" t="s">
        <v>46</v>
      </c>
      <c r="H386" s="80" t="s">
        <v>22</v>
      </c>
      <c r="I386" s="91" t="s">
        <v>2748</v>
      </c>
      <c r="J386" s="80" t="s">
        <v>43</v>
      </c>
      <c r="K386" s="91" t="s">
        <v>2748</v>
      </c>
      <c r="L386" s="82" t="s">
        <v>2749</v>
      </c>
      <c r="M386" s="83">
        <f t="shared" si="1"/>
        <v>200</v>
      </c>
      <c r="N386" s="84">
        <v>0.0</v>
      </c>
      <c r="O386" s="84">
        <v>200.0</v>
      </c>
      <c r="P386" s="84">
        <v>0.0</v>
      </c>
      <c r="Q386" s="94">
        <v>39426.0</v>
      </c>
      <c r="R386" s="94">
        <v>2024.0</v>
      </c>
      <c r="S386" s="95" t="s">
        <v>2750</v>
      </c>
      <c r="T386" s="94">
        <v>1.0</v>
      </c>
      <c r="U386" s="96">
        <v>39324.0</v>
      </c>
      <c r="V386" s="97" t="s">
        <v>2751</v>
      </c>
      <c r="W386" s="97" t="s">
        <v>2752</v>
      </c>
      <c r="X386" s="79" t="s">
        <v>40</v>
      </c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  <c r="AQ386" s="88"/>
      <c r="AR386" s="88"/>
    </row>
    <row r="387" ht="19.5" customHeight="1">
      <c r="A387" s="79">
        <v>376.0</v>
      </c>
      <c r="B387" s="91" t="s">
        <v>31</v>
      </c>
      <c r="C387" s="95" t="s">
        <v>2729</v>
      </c>
      <c r="D387" s="95" t="s">
        <v>2753</v>
      </c>
      <c r="E387" s="100" t="s">
        <v>2754</v>
      </c>
      <c r="F387" s="95" t="s">
        <v>22</v>
      </c>
      <c r="G387" s="80" t="s">
        <v>46</v>
      </c>
      <c r="H387" s="80" t="s">
        <v>22</v>
      </c>
      <c r="I387" s="95" t="s">
        <v>2755</v>
      </c>
      <c r="J387" s="80" t="s">
        <v>43</v>
      </c>
      <c r="K387" s="95" t="s">
        <v>2755</v>
      </c>
      <c r="L387" s="82" t="s">
        <v>2756</v>
      </c>
      <c r="M387" s="83">
        <f t="shared" si="1"/>
        <v>490</v>
      </c>
      <c r="N387" s="84">
        <v>0.0</v>
      </c>
      <c r="O387" s="84">
        <v>490.0</v>
      </c>
      <c r="P387" s="84">
        <v>0.0</v>
      </c>
      <c r="Q387" s="94">
        <v>7676.0</v>
      </c>
      <c r="R387" s="94">
        <v>2562.0</v>
      </c>
      <c r="S387" s="95" t="s">
        <v>2757</v>
      </c>
      <c r="T387" s="94">
        <v>5.0</v>
      </c>
      <c r="U387" s="96">
        <v>39100.0</v>
      </c>
      <c r="V387" s="97" t="s">
        <v>2758</v>
      </c>
      <c r="W387" s="97" t="s">
        <v>2759</v>
      </c>
      <c r="X387" s="79" t="s">
        <v>2760</v>
      </c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  <c r="AQ387" s="88"/>
      <c r="AR387" s="88"/>
    </row>
    <row r="388" ht="19.5" customHeight="1">
      <c r="A388" s="79">
        <v>377.0</v>
      </c>
      <c r="B388" s="91" t="s">
        <v>31</v>
      </c>
      <c r="C388" s="91" t="s">
        <v>2729</v>
      </c>
      <c r="D388" s="91" t="s">
        <v>2761</v>
      </c>
      <c r="E388" s="92" t="s">
        <v>2762</v>
      </c>
      <c r="F388" s="91" t="s">
        <v>81</v>
      </c>
      <c r="G388" s="80" t="s">
        <v>44</v>
      </c>
      <c r="H388" s="80" t="s">
        <v>21</v>
      </c>
      <c r="I388" s="91" t="s">
        <v>2732</v>
      </c>
      <c r="J388" s="80" t="s">
        <v>45</v>
      </c>
      <c r="K388" s="91" t="s">
        <v>2733</v>
      </c>
      <c r="L388" s="82" t="s">
        <v>2763</v>
      </c>
      <c r="M388" s="83">
        <f t="shared" si="1"/>
        <v>150</v>
      </c>
      <c r="N388" s="84">
        <v>150.0</v>
      </c>
      <c r="O388" s="84">
        <v>0.0</v>
      </c>
      <c r="P388" s="84">
        <v>0.0</v>
      </c>
      <c r="Q388" s="94">
        <v>1000.0</v>
      </c>
      <c r="R388" s="94">
        <v>1357.0</v>
      </c>
      <c r="S388" s="95" t="s">
        <v>217</v>
      </c>
      <c r="T388" s="94">
        <v>1.0</v>
      </c>
      <c r="U388" s="96">
        <v>42902.0</v>
      </c>
      <c r="V388" s="97" t="s">
        <v>2764</v>
      </c>
      <c r="W388" s="97" t="s">
        <v>2765</v>
      </c>
      <c r="X388" s="79" t="s">
        <v>2766</v>
      </c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  <c r="AQ388" s="88"/>
      <c r="AR388" s="88"/>
    </row>
    <row r="389" ht="17.25" customHeight="1">
      <c r="A389" s="79">
        <v>378.0</v>
      </c>
      <c r="B389" s="91" t="s">
        <v>31</v>
      </c>
      <c r="C389" s="91" t="s">
        <v>2729</v>
      </c>
      <c r="D389" s="91" t="s">
        <v>2753</v>
      </c>
      <c r="E389" s="92" t="s">
        <v>2767</v>
      </c>
      <c r="F389" s="91" t="s">
        <v>22</v>
      </c>
      <c r="G389" s="80" t="s">
        <v>48</v>
      </c>
      <c r="H389" s="80" t="s">
        <v>22</v>
      </c>
      <c r="I389" s="91" t="s">
        <v>2755</v>
      </c>
      <c r="J389" s="80" t="s">
        <v>43</v>
      </c>
      <c r="K389" s="91" t="s">
        <v>2755</v>
      </c>
      <c r="L389" s="82" t="s">
        <v>2768</v>
      </c>
      <c r="M389" s="83">
        <f t="shared" si="1"/>
        <v>100</v>
      </c>
      <c r="N389" s="84">
        <v>0.0</v>
      </c>
      <c r="O389" s="84">
        <v>0.0</v>
      </c>
      <c r="P389" s="84">
        <v>100.0</v>
      </c>
      <c r="Q389" s="94">
        <v>12663.0</v>
      </c>
      <c r="R389" s="94">
        <v>737.0</v>
      </c>
      <c r="S389" s="95" t="s">
        <v>704</v>
      </c>
      <c r="T389" s="94">
        <v>5.0</v>
      </c>
      <c r="U389" s="96">
        <v>41767.0</v>
      </c>
      <c r="V389" s="97" t="s">
        <v>2758</v>
      </c>
      <c r="W389" s="97" t="s">
        <v>2759</v>
      </c>
      <c r="X389" s="79" t="s">
        <v>2760</v>
      </c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  <c r="AQ389" s="88"/>
      <c r="AR389" s="88"/>
    </row>
    <row r="390" ht="19.5" customHeight="1">
      <c r="A390" s="79">
        <v>379.0</v>
      </c>
      <c r="B390" s="91" t="s">
        <v>31</v>
      </c>
      <c r="C390" s="91" t="s">
        <v>2729</v>
      </c>
      <c r="D390" s="91" t="s">
        <v>2753</v>
      </c>
      <c r="E390" s="92" t="s">
        <v>2769</v>
      </c>
      <c r="F390" s="91" t="s">
        <v>22</v>
      </c>
      <c r="G390" s="80" t="s">
        <v>46</v>
      </c>
      <c r="H390" s="80" t="s">
        <v>22</v>
      </c>
      <c r="I390" s="91" t="s">
        <v>2770</v>
      </c>
      <c r="J390" s="80" t="s">
        <v>43</v>
      </c>
      <c r="K390" s="79" t="s">
        <v>2770</v>
      </c>
      <c r="L390" s="93" t="s">
        <v>2771</v>
      </c>
      <c r="M390" s="83">
        <f t="shared" si="1"/>
        <v>430</v>
      </c>
      <c r="N390" s="84"/>
      <c r="O390" s="84">
        <v>400.0</v>
      </c>
      <c r="P390" s="84">
        <v>30.0</v>
      </c>
      <c r="Q390" s="94">
        <v>23425.0</v>
      </c>
      <c r="R390" s="94">
        <v>2541.0</v>
      </c>
      <c r="S390" s="95" t="s">
        <v>350</v>
      </c>
      <c r="T390" s="94">
        <v>7.0</v>
      </c>
      <c r="U390" s="96">
        <v>45196.0</v>
      </c>
      <c r="V390" s="97" t="s">
        <v>2772</v>
      </c>
      <c r="W390" s="97" t="s">
        <v>40</v>
      </c>
      <c r="X390" s="79" t="s">
        <v>40</v>
      </c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  <c r="AQ390" s="88"/>
      <c r="AR390" s="88"/>
    </row>
    <row r="391" ht="19.5" customHeight="1">
      <c r="A391" s="79">
        <v>380.0</v>
      </c>
      <c r="B391" s="91" t="s">
        <v>31</v>
      </c>
      <c r="C391" s="91" t="s">
        <v>2773</v>
      </c>
      <c r="D391" s="91" t="s">
        <v>2774</v>
      </c>
      <c r="E391" s="92" t="s">
        <v>2775</v>
      </c>
      <c r="F391" s="91" t="s">
        <v>81</v>
      </c>
      <c r="G391" s="80" t="s">
        <v>44</v>
      </c>
      <c r="H391" s="80" t="s">
        <v>21</v>
      </c>
      <c r="I391" s="91" t="s">
        <v>2776</v>
      </c>
      <c r="J391" s="80" t="s">
        <v>45</v>
      </c>
      <c r="K391" s="79" t="s">
        <v>127</v>
      </c>
      <c r="L391" s="93" t="s">
        <v>2777</v>
      </c>
      <c r="M391" s="83">
        <f t="shared" si="1"/>
        <v>150</v>
      </c>
      <c r="N391" s="84">
        <v>150.0</v>
      </c>
      <c r="O391" s="84">
        <v>0.0</v>
      </c>
      <c r="P391" s="84">
        <v>0.0</v>
      </c>
      <c r="Q391" s="94">
        <v>1311.0</v>
      </c>
      <c r="R391" s="94">
        <v>669.0</v>
      </c>
      <c r="S391" s="95" t="s">
        <v>2778</v>
      </c>
      <c r="T391" s="94">
        <v>1.0</v>
      </c>
      <c r="U391" s="96">
        <v>39377.0</v>
      </c>
      <c r="V391" s="97" t="s">
        <v>2779</v>
      </c>
      <c r="W391" s="97" t="s">
        <v>2780</v>
      </c>
      <c r="X391" s="79" t="s">
        <v>2781</v>
      </c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  <c r="AQ391" s="88"/>
      <c r="AR391" s="88"/>
    </row>
    <row r="392" ht="19.5" customHeight="1">
      <c r="A392" s="79">
        <v>381.0</v>
      </c>
      <c r="B392" s="91" t="s">
        <v>31</v>
      </c>
      <c r="C392" s="91" t="s">
        <v>2773</v>
      </c>
      <c r="D392" s="91" t="s">
        <v>2782</v>
      </c>
      <c r="E392" s="92" t="s">
        <v>2783</v>
      </c>
      <c r="F392" s="91" t="s">
        <v>81</v>
      </c>
      <c r="G392" s="80" t="s">
        <v>42</v>
      </c>
      <c r="H392" s="80" t="s">
        <v>21</v>
      </c>
      <c r="I392" s="91" t="s">
        <v>2776</v>
      </c>
      <c r="J392" s="80" t="s">
        <v>45</v>
      </c>
      <c r="K392" s="91" t="s">
        <v>469</v>
      </c>
      <c r="L392" s="82" t="s">
        <v>2784</v>
      </c>
      <c r="M392" s="83">
        <f t="shared" si="1"/>
        <v>655</v>
      </c>
      <c r="N392" s="84">
        <v>655.0</v>
      </c>
      <c r="O392" s="84">
        <v>0.0</v>
      </c>
      <c r="P392" s="84">
        <v>0.0</v>
      </c>
      <c r="Q392" s="94">
        <v>3135.0</v>
      </c>
      <c r="R392" s="94">
        <v>7143.11</v>
      </c>
      <c r="S392" s="95" t="s">
        <v>2785</v>
      </c>
      <c r="T392" s="94">
        <v>1.0</v>
      </c>
      <c r="U392" s="96">
        <v>43859.0</v>
      </c>
      <c r="V392" s="97" t="s">
        <v>2786</v>
      </c>
      <c r="W392" s="97" t="s">
        <v>2787</v>
      </c>
      <c r="X392" s="79" t="s">
        <v>2788</v>
      </c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  <c r="AQ392" s="88"/>
      <c r="AR392" s="88"/>
    </row>
    <row r="393" ht="19.5" customHeight="1">
      <c r="A393" s="79">
        <v>382.0</v>
      </c>
      <c r="B393" s="91" t="s">
        <v>31</v>
      </c>
      <c r="C393" s="91" t="s">
        <v>2773</v>
      </c>
      <c r="D393" s="91" t="s">
        <v>2789</v>
      </c>
      <c r="E393" s="92" t="s">
        <v>2790</v>
      </c>
      <c r="F393" s="91" t="s">
        <v>81</v>
      </c>
      <c r="G393" s="80" t="s">
        <v>44</v>
      </c>
      <c r="H393" s="80" t="s">
        <v>21</v>
      </c>
      <c r="I393" s="91" t="s">
        <v>2776</v>
      </c>
      <c r="J393" s="80" t="s">
        <v>45</v>
      </c>
      <c r="K393" s="95" t="s">
        <v>127</v>
      </c>
      <c r="L393" s="82" t="s">
        <v>2791</v>
      </c>
      <c r="M393" s="83">
        <f t="shared" si="1"/>
        <v>170</v>
      </c>
      <c r="N393" s="84">
        <v>170.0</v>
      </c>
      <c r="O393" s="84">
        <v>0.0</v>
      </c>
      <c r="P393" s="84">
        <v>0.0</v>
      </c>
      <c r="Q393" s="94">
        <v>2412.0</v>
      </c>
      <c r="R393" s="94">
        <v>932.0</v>
      </c>
      <c r="S393" s="95" t="s">
        <v>2792</v>
      </c>
      <c r="T393" s="94">
        <v>1.0</v>
      </c>
      <c r="U393" s="96">
        <v>45398.0</v>
      </c>
      <c r="V393" s="97" t="s">
        <v>2793</v>
      </c>
      <c r="W393" s="97" t="s">
        <v>2794</v>
      </c>
      <c r="X393" s="79" t="s">
        <v>2781</v>
      </c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  <c r="AQ393" s="88"/>
      <c r="AR393" s="88"/>
    </row>
    <row r="394" ht="19.5" customHeight="1">
      <c r="A394" s="79">
        <v>383.0</v>
      </c>
      <c r="B394" s="91" t="s">
        <v>31</v>
      </c>
      <c r="C394" s="91" t="s">
        <v>2795</v>
      </c>
      <c r="D394" s="91" t="s">
        <v>2796</v>
      </c>
      <c r="E394" s="92" t="s">
        <v>2797</v>
      </c>
      <c r="F394" s="91" t="s">
        <v>22</v>
      </c>
      <c r="G394" s="80" t="s">
        <v>46</v>
      </c>
      <c r="H394" s="80" t="s">
        <v>22</v>
      </c>
      <c r="I394" s="91" t="s">
        <v>2798</v>
      </c>
      <c r="J394" s="80" t="s">
        <v>43</v>
      </c>
      <c r="K394" s="95" t="s">
        <v>2799</v>
      </c>
      <c r="L394" s="82" t="s">
        <v>2800</v>
      </c>
      <c r="M394" s="83">
        <f t="shared" si="1"/>
        <v>369</v>
      </c>
      <c r="N394" s="84"/>
      <c r="O394" s="84">
        <v>240.0</v>
      </c>
      <c r="P394" s="84">
        <v>129.0</v>
      </c>
      <c r="Q394" s="94">
        <v>27096.0</v>
      </c>
      <c r="R394" s="94">
        <v>2460.0</v>
      </c>
      <c r="S394" s="95" t="s">
        <v>2801</v>
      </c>
      <c r="T394" s="94">
        <v>1.0</v>
      </c>
      <c r="U394" s="96">
        <v>32758.0</v>
      </c>
      <c r="V394" s="97" t="s">
        <v>2802</v>
      </c>
      <c r="W394" s="97" t="s">
        <v>2803</v>
      </c>
      <c r="X394" s="79" t="s">
        <v>2804</v>
      </c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  <c r="AQ394" s="88"/>
      <c r="AR394" s="88"/>
    </row>
    <row r="395" ht="19.5" customHeight="1">
      <c r="A395" s="79">
        <v>384.0</v>
      </c>
      <c r="B395" s="91" t="s">
        <v>31</v>
      </c>
      <c r="C395" s="91" t="s">
        <v>2795</v>
      </c>
      <c r="D395" s="91" t="s">
        <v>2805</v>
      </c>
      <c r="E395" s="92" t="s">
        <v>2806</v>
      </c>
      <c r="F395" s="91" t="s">
        <v>22</v>
      </c>
      <c r="G395" s="80" t="s">
        <v>46</v>
      </c>
      <c r="H395" s="80" t="s">
        <v>22</v>
      </c>
      <c r="I395" s="91" t="s">
        <v>2807</v>
      </c>
      <c r="J395" s="80" t="s">
        <v>43</v>
      </c>
      <c r="K395" s="91" t="s">
        <v>2807</v>
      </c>
      <c r="L395" s="82" t="s">
        <v>2808</v>
      </c>
      <c r="M395" s="83">
        <f t="shared" si="1"/>
        <v>499</v>
      </c>
      <c r="N395" s="84"/>
      <c r="O395" s="84">
        <v>349.0</v>
      </c>
      <c r="P395" s="84">
        <v>150.0</v>
      </c>
      <c r="Q395" s="94">
        <v>8904.0</v>
      </c>
      <c r="R395" s="94">
        <v>4524.0</v>
      </c>
      <c r="S395" s="95" t="s">
        <v>350</v>
      </c>
      <c r="T395" s="94">
        <v>5.0</v>
      </c>
      <c r="U395" s="96">
        <v>37742.0</v>
      </c>
      <c r="V395" s="97" t="s">
        <v>2809</v>
      </c>
      <c r="W395" s="97" t="s">
        <v>2810</v>
      </c>
      <c r="X395" s="79" t="s">
        <v>2811</v>
      </c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  <c r="AQ395" s="88"/>
      <c r="AR395" s="88"/>
    </row>
    <row r="396" ht="19.5" customHeight="1">
      <c r="A396" s="79">
        <v>385.0</v>
      </c>
      <c r="B396" s="91" t="s">
        <v>31</v>
      </c>
      <c r="C396" s="91" t="s">
        <v>2795</v>
      </c>
      <c r="D396" s="91" t="s">
        <v>2812</v>
      </c>
      <c r="E396" s="92" t="s">
        <v>2813</v>
      </c>
      <c r="F396" s="91" t="s">
        <v>81</v>
      </c>
      <c r="G396" s="80" t="s">
        <v>42</v>
      </c>
      <c r="H396" s="80" t="s">
        <v>21</v>
      </c>
      <c r="I396" s="91" t="s">
        <v>2814</v>
      </c>
      <c r="J396" s="80" t="s">
        <v>45</v>
      </c>
      <c r="K396" s="91" t="s">
        <v>2815</v>
      </c>
      <c r="L396" s="82" t="s">
        <v>2816</v>
      </c>
      <c r="M396" s="83">
        <f t="shared" si="1"/>
        <v>955</v>
      </c>
      <c r="N396" s="84">
        <v>955.0</v>
      </c>
      <c r="O396" s="84"/>
      <c r="P396" s="84"/>
      <c r="Q396" s="94">
        <v>19214.0</v>
      </c>
      <c r="R396" s="94">
        <v>12740.0</v>
      </c>
      <c r="S396" s="95" t="s">
        <v>2280</v>
      </c>
      <c r="T396" s="94">
        <v>1.0</v>
      </c>
      <c r="U396" s="96">
        <v>39857.0</v>
      </c>
      <c r="V396" s="97" t="s">
        <v>2817</v>
      </c>
      <c r="W396" s="97" t="s">
        <v>2818</v>
      </c>
      <c r="X396" s="79" t="s">
        <v>2819</v>
      </c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  <c r="AQ396" s="88"/>
      <c r="AR396" s="88"/>
    </row>
    <row r="397" ht="19.5" customHeight="1">
      <c r="A397" s="79">
        <v>386.0</v>
      </c>
      <c r="B397" s="91" t="s">
        <v>31</v>
      </c>
      <c r="C397" s="91" t="s">
        <v>2795</v>
      </c>
      <c r="D397" s="91" t="s">
        <v>856</v>
      </c>
      <c r="E397" s="92" t="s">
        <v>2820</v>
      </c>
      <c r="F397" s="91" t="s">
        <v>81</v>
      </c>
      <c r="G397" s="80" t="s">
        <v>44</v>
      </c>
      <c r="H397" s="80" t="s">
        <v>21</v>
      </c>
      <c r="I397" s="91" t="s">
        <v>2814</v>
      </c>
      <c r="J397" s="80" t="s">
        <v>45</v>
      </c>
      <c r="K397" s="91" t="s">
        <v>2815</v>
      </c>
      <c r="L397" s="82" t="s">
        <v>2821</v>
      </c>
      <c r="M397" s="83">
        <f t="shared" si="1"/>
        <v>150</v>
      </c>
      <c r="N397" s="84">
        <v>150.0</v>
      </c>
      <c r="O397" s="84"/>
      <c r="P397" s="84"/>
      <c r="Q397" s="94">
        <v>2027.0</v>
      </c>
      <c r="R397" s="94">
        <v>2243.0</v>
      </c>
      <c r="S397" s="95" t="s">
        <v>194</v>
      </c>
      <c r="T397" s="94">
        <v>1.0</v>
      </c>
      <c r="U397" s="96">
        <v>43594.0</v>
      </c>
      <c r="V397" s="97" t="s">
        <v>2822</v>
      </c>
      <c r="W397" s="97" t="s">
        <v>2823</v>
      </c>
      <c r="X397" s="79" t="s">
        <v>2824</v>
      </c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  <c r="AQ397" s="88"/>
      <c r="AR397" s="88"/>
    </row>
    <row r="398" ht="19.5" customHeight="1">
      <c r="A398" s="79">
        <v>387.0</v>
      </c>
      <c r="B398" s="91" t="s">
        <v>31</v>
      </c>
      <c r="C398" s="91" t="s">
        <v>2795</v>
      </c>
      <c r="D398" s="91" t="s">
        <v>2825</v>
      </c>
      <c r="E398" s="92" t="s">
        <v>2826</v>
      </c>
      <c r="F398" s="91" t="s">
        <v>81</v>
      </c>
      <c r="G398" s="80" t="s">
        <v>44</v>
      </c>
      <c r="H398" s="80" t="s">
        <v>21</v>
      </c>
      <c r="I398" s="91" t="s">
        <v>2814</v>
      </c>
      <c r="J398" s="80" t="s">
        <v>45</v>
      </c>
      <c r="K398" s="91" t="s">
        <v>2815</v>
      </c>
      <c r="L398" s="82" t="s">
        <v>2827</v>
      </c>
      <c r="M398" s="83">
        <f t="shared" si="1"/>
        <v>100</v>
      </c>
      <c r="N398" s="84">
        <v>100.0</v>
      </c>
      <c r="O398" s="84"/>
      <c r="P398" s="84"/>
      <c r="Q398" s="94">
        <v>22500.0</v>
      </c>
      <c r="R398" s="94">
        <v>603.66</v>
      </c>
      <c r="S398" s="95" t="s">
        <v>2828</v>
      </c>
      <c r="T398" s="94">
        <v>1.0</v>
      </c>
      <c r="U398" s="96">
        <v>42917.0</v>
      </c>
      <c r="V398" s="97" t="s">
        <v>2829</v>
      </c>
      <c r="W398" s="97" t="s">
        <v>2830</v>
      </c>
      <c r="X398" s="79" t="s">
        <v>2831</v>
      </c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  <c r="AQ398" s="88"/>
      <c r="AR398" s="88"/>
    </row>
    <row r="399" ht="19.5" customHeight="1">
      <c r="A399" s="79">
        <v>388.0</v>
      </c>
      <c r="B399" s="91" t="s">
        <v>31</v>
      </c>
      <c r="C399" s="91" t="s">
        <v>2795</v>
      </c>
      <c r="D399" s="91" t="s">
        <v>2832</v>
      </c>
      <c r="E399" s="92" t="s">
        <v>2833</v>
      </c>
      <c r="F399" s="91" t="s">
        <v>81</v>
      </c>
      <c r="G399" s="80" t="s">
        <v>44</v>
      </c>
      <c r="H399" s="80" t="s">
        <v>21</v>
      </c>
      <c r="I399" s="91" t="s">
        <v>2814</v>
      </c>
      <c r="J399" s="80" t="s">
        <v>45</v>
      </c>
      <c r="K399" s="91" t="s">
        <v>2815</v>
      </c>
      <c r="L399" s="82" t="s">
        <v>2834</v>
      </c>
      <c r="M399" s="83">
        <f t="shared" si="1"/>
        <v>150</v>
      </c>
      <c r="N399" s="84">
        <v>150.0</v>
      </c>
      <c r="O399" s="84"/>
      <c r="P399" s="84"/>
      <c r="Q399" s="94">
        <v>1850.0</v>
      </c>
      <c r="R399" s="94">
        <v>1493.0</v>
      </c>
      <c r="S399" s="95" t="s">
        <v>103</v>
      </c>
      <c r="T399" s="94">
        <v>1.0</v>
      </c>
      <c r="U399" s="96">
        <v>45175.0</v>
      </c>
      <c r="V399" s="97" t="s">
        <v>2835</v>
      </c>
      <c r="W399" s="97" t="s">
        <v>2836</v>
      </c>
      <c r="X399" s="79" t="s">
        <v>2837</v>
      </c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  <c r="AQ399" s="88"/>
      <c r="AR399" s="88"/>
    </row>
    <row r="400" ht="19.5" customHeight="1">
      <c r="A400" s="79">
        <v>389.0</v>
      </c>
      <c r="B400" s="91" t="s">
        <v>32</v>
      </c>
      <c r="C400" s="91" t="s">
        <v>2838</v>
      </c>
      <c r="D400" s="91" t="s">
        <v>2839</v>
      </c>
      <c r="E400" s="92" t="s">
        <v>2840</v>
      </c>
      <c r="F400" s="91" t="s">
        <v>81</v>
      </c>
      <c r="G400" s="80" t="s">
        <v>44</v>
      </c>
      <c r="H400" s="80" t="s">
        <v>21</v>
      </c>
      <c r="I400" s="91" t="s">
        <v>2841</v>
      </c>
      <c r="J400" s="80" t="s">
        <v>43</v>
      </c>
      <c r="K400" s="91" t="s">
        <v>2838</v>
      </c>
      <c r="L400" s="82" t="s">
        <v>2842</v>
      </c>
      <c r="M400" s="83">
        <f t="shared" si="1"/>
        <v>100</v>
      </c>
      <c r="N400" s="84">
        <v>100.0</v>
      </c>
      <c r="O400" s="84"/>
      <c r="P400" s="84"/>
      <c r="Q400" s="94">
        <v>1638.0</v>
      </c>
      <c r="R400" s="94">
        <v>760.0</v>
      </c>
      <c r="S400" s="95" t="s">
        <v>350</v>
      </c>
      <c r="T400" s="94">
        <v>1.0</v>
      </c>
      <c r="U400" s="96">
        <v>39822.0</v>
      </c>
      <c r="V400" s="97" t="s">
        <v>2843</v>
      </c>
      <c r="W400" s="97" t="s">
        <v>2844</v>
      </c>
      <c r="X400" s="79" t="s">
        <v>2845</v>
      </c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  <c r="AQ400" s="88"/>
      <c r="AR400" s="88"/>
    </row>
    <row r="401" ht="19.5" customHeight="1">
      <c r="A401" s="79">
        <v>390.0</v>
      </c>
      <c r="B401" s="91" t="s">
        <v>32</v>
      </c>
      <c r="C401" s="91" t="s">
        <v>2838</v>
      </c>
      <c r="D401" s="91" t="s">
        <v>2846</v>
      </c>
      <c r="E401" s="92" t="s">
        <v>2847</v>
      </c>
      <c r="F401" s="91" t="s">
        <v>81</v>
      </c>
      <c r="G401" s="80" t="s">
        <v>42</v>
      </c>
      <c r="H401" s="80" t="s">
        <v>21</v>
      </c>
      <c r="I401" s="91" t="s">
        <v>2841</v>
      </c>
      <c r="J401" s="80" t="s">
        <v>43</v>
      </c>
      <c r="K401" s="91" t="s">
        <v>2838</v>
      </c>
      <c r="L401" s="82" t="s">
        <v>2848</v>
      </c>
      <c r="M401" s="83">
        <f t="shared" si="1"/>
        <v>308</v>
      </c>
      <c r="N401" s="84">
        <v>308.0</v>
      </c>
      <c r="O401" s="84"/>
      <c r="P401" s="84"/>
      <c r="Q401" s="94">
        <v>7925.0</v>
      </c>
      <c r="R401" s="94">
        <v>2888.0</v>
      </c>
      <c r="S401" s="95" t="s">
        <v>2849</v>
      </c>
      <c r="T401" s="94">
        <v>1.0</v>
      </c>
      <c r="U401" s="96">
        <v>39822.0</v>
      </c>
      <c r="V401" s="97" t="s">
        <v>2850</v>
      </c>
      <c r="W401" s="97" t="s">
        <v>2851</v>
      </c>
      <c r="X401" s="79" t="s">
        <v>2845</v>
      </c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  <c r="AQ401" s="88"/>
      <c r="AR401" s="88"/>
    </row>
    <row r="402" ht="19.5" customHeight="1">
      <c r="A402" s="79">
        <v>391.0</v>
      </c>
      <c r="B402" s="91" t="s">
        <v>32</v>
      </c>
      <c r="C402" s="91" t="s">
        <v>2838</v>
      </c>
      <c r="D402" s="91" t="s">
        <v>2852</v>
      </c>
      <c r="E402" s="92" t="s">
        <v>2853</v>
      </c>
      <c r="F402" s="91" t="s">
        <v>81</v>
      </c>
      <c r="G402" s="80" t="s">
        <v>46</v>
      </c>
      <c r="H402" s="80" t="s">
        <v>21</v>
      </c>
      <c r="I402" s="91" t="s">
        <v>2841</v>
      </c>
      <c r="J402" s="80" t="s">
        <v>45</v>
      </c>
      <c r="K402" s="91" t="s">
        <v>2854</v>
      </c>
      <c r="L402" s="82" t="s">
        <v>2855</v>
      </c>
      <c r="M402" s="83">
        <f t="shared" si="1"/>
        <v>150</v>
      </c>
      <c r="N402" s="84"/>
      <c r="O402" s="84">
        <v>150.0</v>
      </c>
      <c r="P402" s="84"/>
      <c r="Q402" s="94">
        <v>8936.0</v>
      </c>
      <c r="R402" s="94">
        <v>3669.0</v>
      </c>
      <c r="S402" s="95" t="s">
        <v>194</v>
      </c>
      <c r="T402" s="94">
        <v>8.0</v>
      </c>
      <c r="U402" s="96">
        <v>36272.0</v>
      </c>
      <c r="V402" s="97" t="s">
        <v>2856</v>
      </c>
      <c r="W402" s="97" t="s">
        <v>2857</v>
      </c>
      <c r="X402" s="79" t="s">
        <v>2858</v>
      </c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  <c r="AQ402" s="88"/>
      <c r="AR402" s="88"/>
    </row>
    <row r="403" ht="19.5" customHeight="1">
      <c r="A403" s="79">
        <v>392.0</v>
      </c>
      <c r="B403" s="91" t="s">
        <v>32</v>
      </c>
      <c r="C403" s="91" t="s">
        <v>2838</v>
      </c>
      <c r="D403" s="91" t="s">
        <v>1738</v>
      </c>
      <c r="E403" s="92" t="s">
        <v>2859</v>
      </c>
      <c r="F403" s="91" t="s">
        <v>81</v>
      </c>
      <c r="G403" s="80" t="s">
        <v>44</v>
      </c>
      <c r="H403" s="80" t="s">
        <v>21</v>
      </c>
      <c r="I403" s="91" t="s">
        <v>2860</v>
      </c>
      <c r="J403" s="80" t="s">
        <v>43</v>
      </c>
      <c r="K403" s="91" t="s">
        <v>2838</v>
      </c>
      <c r="L403" s="82" t="s">
        <v>2861</v>
      </c>
      <c r="M403" s="83">
        <f t="shared" si="1"/>
        <v>117</v>
      </c>
      <c r="N403" s="84">
        <v>117.0</v>
      </c>
      <c r="O403" s="84"/>
      <c r="P403" s="84"/>
      <c r="Q403" s="94">
        <v>1318.0</v>
      </c>
      <c r="R403" s="94">
        <v>822.0</v>
      </c>
      <c r="S403" s="95" t="s">
        <v>350</v>
      </c>
      <c r="T403" s="94">
        <v>1.0</v>
      </c>
      <c r="U403" s="96">
        <v>45512.0</v>
      </c>
      <c r="V403" s="97" t="s">
        <v>2862</v>
      </c>
      <c r="W403" s="97" t="s">
        <v>2863</v>
      </c>
      <c r="X403" s="79" t="s">
        <v>2845</v>
      </c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  <c r="AQ403" s="88"/>
      <c r="AR403" s="88"/>
    </row>
    <row r="404" ht="19.5" customHeight="1">
      <c r="A404" s="79">
        <v>393.0</v>
      </c>
      <c r="B404" s="91" t="s">
        <v>32</v>
      </c>
      <c r="C404" s="91" t="s">
        <v>2864</v>
      </c>
      <c r="D404" s="91" t="s">
        <v>2865</v>
      </c>
      <c r="E404" s="92" t="s">
        <v>2866</v>
      </c>
      <c r="F404" s="91" t="s">
        <v>687</v>
      </c>
      <c r="G404" s="80" t="s">
        <v>42</v>
      </c>
      <c r="H404" s="80" t="s">
        <v>21</v>
      </c>
      <c r="I404" s="91" t="s">
        <v>2867</v>
      </c>
      <c r="J404" s="80" t="s">
        <v>43</v>
      </c>
      <c r="K404" s="91" t="s">
        <v>2864</v>
      </c>
      <c r="L404" s="82" t="s">
        <v>2868</v>
      </c>
      <c r="M404" s="83">
        <f t="shared" si="1"/>
        <v>100</v>
      </c>
      <c r="N404" s="84">
        <v>100.0</v>
      </c>
      <c r="O404" s="84"/>
      <c r="P404" s="84"/>
      <c r="Q404" s="94">
        <v>8090.0</v>
      </c>
      <c r="R404" s="94">
        <v>2395.0</v>
      </c>
      <c r="S404" s="95" t="s">
        <v>103</v>
      </c>
      <c r="T404" s="94">
        <v>1.0</v>
      </c>
      <c r="U404" s="96">
        <v>40651.0</v>
      </c>
      <c r="V404" s="97" t="s">
        <v>2869</v>
      </c>
      <c r="W404" s="97" t="s">
        <v>2870</v>
      </c>
      <c r="X404" s="79" t="s">
        <v>2871</v>
      </c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  <c r="AQ404" s="88"/>
      <c r="AR404" s="88"/>
    </row>
    <row r="405" ht="19.5" customHeight="1">
      <c r="A405" s="79">
        <v>394.0</v>
      </c>
      <c r="B405" s="91" t="s">
        <v>32</v>
      </c>
      <c r="C405" s="91" t="s">
        <v>2864</v>
      </c>
      <c r="D405" s="91" t="s">
        <v>2872</v>
      </c>
      <c r="E405" s="92" t="s">
        <v>2873</v>
      </c>
      <c r="F405" s="91" t="s">
        <v>687</v>
      </c>
      <c r="G405" s="80" t="s">
        <v>44</v>
      </c>
      <c r="H405" s="80" t="s">
        <v>21</v>
      </c>
      <c r="I405" s="91" t="s">
        <v>2867</v>
      </c>
      <c r="J405" s="80" t="s">
        <v>43</v>
      </c>
      <c r="K405" s="91" t="s">
        <v>2864</v>
      </c>
      <c r="L405" s="82" t="s">
        <v>2874</v>
      </c>
      <c r="M405" s="83">
        <f t="shared" si="1"/>
        <v>30</v>
      </c>
      <c r="N405" s="84">
        <v>30.0</v>
      </c>
      <c r="O405" s="84"/>
      <c r="P405" s="84"/>
      <c r="Q405" s="94">
        <v>3897.0</v>
      </c>
      <c r="R405" s="94">
        <v>535.0</v>
      </c>
      <c r="S405" s="95" t="s">
        <v>2875</v>
      </c>
      <c r="T405" s="94">
        <v>1.0</v>
      </c>
      <c r="U405" s="96">
        <v>40651.0</v>
      </c>
      <c r="V405" s="97" t="s">
        <v>2876</v>
      </c>
      <c r="W405" s="97" t="s">
        <v>2870</v>
      </c>
      <c r="X405" s="79" t="s">
        <v>2871</v>
      </c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  <c r="AQ405" s="88"/>
      <c r="AR405" s="88"/>
    </row>
    <row r="406" ht="19.5" customHeight="1">
      <c r="A406" s="79">
        <v>395.0</v>
      </c>
      <c r="B406" s="91" t="s">
        <v>32</v>
      </c>
      <c r="C406" s="91" t="s">
        <v>2864</v>
      </c>
      <c r="D406" s="91" t="s">
        <v>2877</v>
      </c>
      <c r="E406" s="92" t="s">
        <v>2878</v>
      </c>
      <c r="F406" s="91" t="s">
        <v>687</v>
      </c>
      <c r="G406" s="80" t="s">
        <v>44</v>
      </c>
      <c r="H406" s="80" t="s">
        <v>21</v>
      </c>
      <c r="I406" s="91" t="s">
        <v>2867</v>
      </c>
      <c r="J406" s="80" t="s">
        <v>43</v>
      </c>
      <c r="K406" s="91" t="s">
        <v>2864</v>
      </c>
      <c r="L406" s="82" t="s">
        <v>2879</v>
      </c>
      <c r="M406" s="83">
        <f t="shared" si="1"/>
        <v>50</v>
      </c>
      <c r="N406" s="84">
        <v>50.0</v>
      </c>
      <c r="O406" s="84"/>
      <c r="P406" s="84"/>
      <c r="Q406" s="94">
        <v>1152.0</v>
      </c>
      <c r="R406" s="94">
        <v>603.0</v>
      </c>
      <c r="S406" s="95" t="s">
        <v>2880</v>
      </c>
      <c r="T406" s="94">
        <v>1.0</v>
      </c>
      <c r="U406" s="96">
        <v>38600.0</v>
      </c>
      <c r="V406" s="97" t="s">
        <v>2881</v>
      </c>
      <c r="W406" s="97" t="s">
        <v>2870</v>
      </c>
      <c r="X406" s="79" t="s">
        <v>2871</v>
      </c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  <c r="AQ406" s="88"/>
      <c r="AR406" s="88"/>
    </row>
    <row r="407" ht="19.5" customHeight="1">
      <c r="A407" s="79">
        <v>396.0</v>
      </c>
      <c r="B407" s="91" t="s">
        <v>32</v>
      </c>
      <c r="C407" s="91" t="s">
        <v>2864</v>
      </c>
      <c r="D407" s="91" t="s">
        <v>2882</v>
      </c>
      <c r="E407" s="92" t="s">
        <v>2883</v>
      </c>
      <c r="F407" s="91" t="s">
        <v>1807</v>
      </c>
      <c r="G407" s="80" t="s">
        <v>46</v>
      </c>
      <c r="H407" s="80" t="s">
        <v>21</v>
      </c>
      <c r="I407" s="91" t="s">
        <v>2884</v>
      </c>
      <c r="J407" s="80" t="s">
        <v>45</v>
      </c>
      <c r="K407" s="91" t="s">
        <v>1718</v>
      </c>
      <c r="L407" s="82" t="s">
        <v>2885</v>
      </c>
      <c r="M407" s="83">
        <f t="shared" si="1"/>
        <v>8700</v>
      </c>
      <c r="N407" s="84"/>
      <c r="O407" s="84">
        <v>700.0</v>
      </c>
      <c r="P407" s="84">
        <v>8000.0</v>
      </c>
      <c r="Q407" s="94">
        <v>572914.0</v>
      </c>
      <c r="R407" s="94">
        <v>10181.0</v>
      </c>
      <c r="S407" s="95" t="s">
        <v>2849</v>
      </c>
      <c r="T407" s="94">
        <v>21.0</v>
      </c>
      <c r="U407" s="96">
        <v>33736.0</v>
      </c>
      <c r="V407" s="97" t="s">
        <v>2886</v>
      </c>
      <c r="W407" s="97" t="s">
        <v>2887</v>
      </c>
      <c r="X407" s="79" t="s">
        <v>2888</v>
      </c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  <c r="AQ407" s="88"/>
      <c r="AR407" s="88"/>
    </row>
    <row r="408" ht="19.5" customHeight="1">
      <c r="A408" s="79">
        <v>397.0</v>
      </c>
      <c r="B408" s="91" t="s">
        <v>32</v>
      </c>
      <c r="C408" s="91" t="s">
        <v>2864</v>
      </c>
      <c r="D408" s="91" t="s">
        <v>2882</v>
      </c>
      <c r="E408" s="92" t="s">
        <v>2889</v>
      </c>
      <c r="F408" s="91" t="s">
        <v>687</v>
      </c>
      <c r="G408" s="80" t="s">
        <v>44</v>
      </c>
      <c r="H408" s="80" t="s">
        <v>21</v>
      </c>
      <c r="I408" s="91" t="s">
        <v>2867</v>
      </c>
      <c r="J408" s="80" t="s">
        <v>43</v>
      </c>
      <c r="K408" s="79" t="s">
        <v>2864</v>
      </c>
      <c r="L408" s="93" t="s">
        <v>2890</v>
      </c>
      <c r="M408" s="83">
        <f t="shared" si="1"/>
        <v>70</v>
      </c>
      <c r="N408" s="84">
        <v>70.0</v>
      </c>
      <c r="O408" s="84"/>
      <c r="P408" s="84"/>
      <c r="Q408" s="94">
        <v>3040.0</v>
      </c>
      <c r="R408" s="94">
        <v>999.0</v>
      </c>
      <c r="S408" s="95" t="s">
        <v>350</v>
      </c>
      <c r="T408" s="94">
        <v>1.0</v>
      </c>
      <c r="U408" s="96">
        <v>44440.0</v>
      </c>
      <c r="V408" s="97" t="s">
        <v>2891</v>
      </c>
      <c r="W408" s="97" t="s">
        <v>2870</v>
      </c>
      <c r="X408" s="79" t="s">
        <v>2871</v>
      </c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  <c r="AQ408" s="88"/>
      <c r="AR408" s="88"/>
    </row>
    <row r="409" ht="19.5" customHeight="1">
      <c r="A409" s="79">
        <v>398.0</v>
      </c>
      <c r="B409" s="91" t="s">
        <v>32</v>
      </c>
      <c r="C409" s="91" t="s">
        <v>2892</v>
      </c>
      <c r="D409" s="91" t="s">
        <v>2893</v>
      </c>
      <c r="E409" s="92" t="s">
        <v>2894</v>
      </c>
      <c r="F409" s="91" t="s">
        <v>81</v>
      </c>
      <c r="G409" s="80" t="s">
        <v>44</v>
      </c>
      <c r="H409" s="80" t="s">
        <v>21</v>
      </c>
      <c r="I409" s="91" t="s">
        <v>2895</v>
      </c>
      <c r="J409" s="80" t="s">
        <v>43</v>
      </c>
      <c r="K409" s="95" t="s">
        <v>2896</v>
      </c>
      <c r="L409" s="82" t="s">
        <v>2897</v>
      </c>
      <c r="M409" s="83">
        <f t="shared" si="1"/>
        <v>100</v>
      </c>
      <c r="N409" s="84">
        <v>100.0</v>
      </c>
      <c r="O409" s="84"/>
      <c r="P409" s="84"/>
      <c r="Q409" s="94">
        <v>567.0</v>
      </c>
      <c r="R409" s="94">
        <v>558.0</v>
      </c>
      <c r="S409" s="95" t="s">
        <v>103</v>
      </c>
      <c r="T409" s="94">
        <v>1.0</v>
      </c>
      <c r="U409" s="96">
        <v>34536.0</v>
      </c>
      <c r="V409" s="97" t="s">
        <v>2898</v>
      </c>
      <c r="W409" s="97" t="s">
        <v>2899</v>
      </c>
      <c r="X409" s="79" t="s">
        <v>2900</v>
      </c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  <c r="AQ409" s="88"/>
      <c r="AR409" s="88"/>
    </row>
    <row r="410" ht="19.5" customHeight="1">
      <c r="A410" s="79">
        <v>399.0</v>
      </c>
      <c r="B410" s="95" t="s">
        <v>32</v>
      </c>
      <c r="C410" s="95" t="s">
        <v>2892</v>
      </c>
      <c r="D410" s="95" t="s">
        <v>676</v>
      </c>
      <c r="E410" s="100" t="s">
        <v>2901</v>
      </c>
      <c r="F410" s="95" t="s">
        <v>81</v>
      </c>
      <c r="G410" s="80" t="s">
        <v>42</v>
      </c>
      <c r="H410" s="80" t="s">
        <v>21</v>
      </c>
      <c r="I410" s="95" t="s">
        <v>2895</v>
      </c>
      <c r="J410" s="80" t="s">
        <v>43</v>
      </c>
      <c r="K410" s="95" t="s">
        <v>2896</v>
      </c>
      <c r="L410" s="82" t="s">
        <v>2902</v>
      </c>
      <c r="M410" s="83">
        <f t="shared" si="1"/>
        <v>500</v>
      </c>
      <c r="N410" s="84">
        <v>424.0</v>
      </c>
      <c r="O410" s="84">
        <v>76.0</v>
      </c>
      <c r="P410" s="84"/>
      <c r="Q410" s="94">
        <v>23984.0</v>
      </c>
      <c r="R410" s="94">
        <v>4133.0</v>
      </c>
      <c r="S410" s="95" t="s">
        <v>103</v>
      </c>
      <c r="T410" s="94">
        <v>2.0</v>
      </c>
      <c r="U410" s="96">
        <v>37342.0</v>
      </c>
      <c r="V410" s="97" t="s">
        <v>2903</v>
      </c>
      <c r="W410" s="97" t="s">
        <v>2899</v>
      </c>
      <c r="X410" s="79" t="s">
        <v>2900</v>
      </c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  <c r="AQ410" s="88"/>
      <c r="AR410" s="88"/>
    </row>
    <row r="411" ht="19.5" customHeight="1">
      <c r="A411" s="79">
        <v>400.0</v>
      </c>
      <c r="B411" s="91" t="s">
        <v>32</v>
      </c>
      <c r="C411" s="91" t="s">
        <v>2892</v>
      </c>
      <c r="D411" s="91" t="s">
        <v>2904</v>
      </c>
      <c r="E411" s="92" t="s">
        <v>2905</v>
      </c>
      <c r="F411" s="91" t="s">
        <v>81</v>
      </c>
      <c r="G411" s="80" t="s">
        <v>44</v>
      </c>
      <c r="H411" s="80" t="s">
        <v>21</v>
      </c>
      <c r="I411" s="91" t="s">
        <v>2895</v>
      </c>
      <c r="J411" s="80" t="s">
        <v>43</v>
      </c>
      <c r="K411" s="79" t="s">
        <v>2896</v>
      </c>
      <c r="L411" s="93" t="s">
        <v>2906</v>
      </c>
      <c r="M411" s="83">
        <f t="shared" si="1"/>
        <v>171</v>
      </c>
      <c r="N411" s="84">
        <v>171.0</v>
      </c>
      <c r="O411" s="84"/>
      <c r="P411" s="84"/>
      <c r="Q411" s="94">
        <v>1361.84</v>
      </c>
      <c r="R411" s="94">
        <v>3898.85</v>
      </c>
      <c r="S411" s="95" t="s">
        <v>103</v>
      </c>
      <c r="T411" s="94">
        <v>1.0</v>
      </c>
      <c r="U411" s="96">
        <v>45098.0</v>
      </c>
      <c r="V411" s="97" t="s">
        <v>2907</v>
      </c>
      <c r="W411" s="97" t="s">
        <v>2899</v>
      </c>
      <c r="X411" s="79" t="s">
        <v>2900</v>
      </c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  <c r="AQ411" s="88"/>
      <c r="AR411" s="88"/>
    </row>
    <row r="412" ht="19.5" customHeight="1">
      <c r="A412" s="79">
        <v>401.0</v>
      </c>
      <c r="B412" s="91" t="s">
        <v>32</v>
      </c>
      <c r="C412" s="91" t="s">
        <v>2908</v>
      </c>
      <c r="D412" s="91" t="s">
        <v>2909</v>
      </c>
      <c r="E412" s="92" t="s">
        <v>2910</v>
      </c>
      <c r="F412" s="91" t="s">
        <v>81</v>
      </c>
      <c r="G412" s="80" t="s">
        <v>44</v>
      </c>
      <c r="H412" s="80" t="s">
        <v>21</v>
      </c>
      <c r="I412" s="91" t="s">
        <v>2911</v>
      </c>
      <c r="J412" s="80" t="s">
        <v>43</v>
      </c>
      <c r="K412" s="91" t="s">
        <v>2908</v>
      </c>
      <c r="L412" s="82" t="s">
        <v>2912</v>
      </c>
      <c r="M412" s="83">
        <f t="shared" si="1"/>
        <v>150</v>
      </c>
      <c r="N412" s="84">
        <v>150.0</v>
      </c>
      <c r="O412" s="84"/>
      <c r="P412" s="84"/>
      <c r="Q412" s="94">
        <v>789.0</v>
      </c>
      <c r="R412" s="94">
        <v>1916.0</v>
      </c>
      <c r="S412" s="95" t="s">
        <v>2849</v>
      </c>
      <c r="T412" s="94">
        <v>1.0</v>
      </c>
      <c r="U412" s="96">
        <v>39787.0</v>
      </c>
      <c r="V412" s="97" t="s">
        <v>2913</v>
      </c>
      <c r="W412" s="97" t="s">
        <v>2914</v>
      </c>
      <c r="X412" s="79" t="s">
        <v>2915</v>
      </c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  <c r="AQ412" s="88"/>
      <c r="AR412" s="88"/>
    </row>
    <row r="413" ht="19.5" customHeight="1">
      <c r="A413" s="79">
        <v>402.0</v>
      </c>
      <c r="B413" s="91" t="s">
        <v>32</v>
      </c>
      <c r="C413" s="91" t="s">
        <v>2908</v>
      </c>
      <c r="D413" s="95" t="s">
        <v>2916</v>
      </c>
      <c r="E413" s="100" t="s">
        <v>2917</v>
      </c>
      <c r="F413" s="91" t="s">
        <v>81</v>
      </c>
      <c r="G413" s="80" t="s">
        <v>44</v>
      </c>
      <c r="H413" s="80" t="s">
        <v>21</v>
      </c>
      <c r="I413" s="91" t="s">
        <v>2911</v>
      </c>
      <c r="J413" s="80" t="s">
        <v>43</v>
      </c>
      <c r="K413" s="95" t="s">
        <v>2908</v>
      </c>
      <c r="L413" s="82" t="s">
        <v>2918</v>
      </c>
      <c r="M413" s="83">
        <f t="shared" si="1"/>
        <v>70</v>
      </c>
      <c r="N413" s="84">
        <v>70.0</v>
      </c>
      <c r="O413" s="84"/>
      <c r="P413" s="84"/>
      <c r="Q413" s="94">
        <v>2322.0</v>
      </c>
      <c r="R413" s="94">
        <v>734.0</v>
      </c>
      <c r="S413" s="95" t="s">
        <v>2849</v>
      </c>
      <c r="T413" s="94">
        <v>1.0</v>
      </c>
      <c r="U413" s="96">
        <v>41509.0</v>
      </c>
      <c r="V413" s="97" t="s">
        <v>2919</v>
      </c>
      <c r="W413" s="97" t="s">
        <v>2920</v>
      </c>
      <c r="X413" s="79" t="s">
        <v>2921</v>
      </c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  <c r="AQ413" s="88"/>
      <c r="AR413" s="88"/>
    </row>
    <row r="414" ht="19.5" customHeight="1">
      <c r="A414" s="79">
        <v>403.0</v>
      </c>
      <c r="B414" s="91" t="s">
        <v>32</v>
      </c>
      <c r="C414" s="91" t="s">
        <v>2908</v>
      </c>
      <c r="D414" s="95" t="s">
        <v>2922</v>
      </c>
      <c r="E414" s="100" t="s">
        <v>2923</v>
      </c>
      <c r="F414" s="95" t="s">
        <v>81</v>
      </c>
      <c r="G414" s="80" t="s">
        <v>44</v>
      </c>
      <c r="H414" s="80" t="s">
        <v>21</v>
      </c>
      <c r="I414" s="91" t="s">
        <v>2911</v>
      </c>
      <c r="J414" s="80" t="s">
        <v>43</v>
      </c>
      <c r="K414" s="95" t="s">
        <v>2908</v>
      </c>
      <c r="L414" s="82" t="s">
        <v>2924</v>
      </c>
      <c r="M414" s="83">
        <f t="shared" si="1"/>
        <v>100</v>
      </c>
      <c r="N414" s="84">
        <v>100.0</v>
      </c>
      <c r="O414" s="84"/>
      <c r="P414" s="84"/>
      <c r="Q414" s="94">
        <v>5156.0</v>
      </c>
      <c r="R414" s="94">
        <v>996.93</v>
      </c>
      <c r="S414" s="95" t="s">
        <v>350</v>
      </c>
      <c r="T414" s="94">
        <v>1.0</v>
      </c>
      <c r="U414" s="96">
        <v>43361.0</v>
      </c>
      <c r="V414" s="97" t="s">
        <v>2925</v>
      </c>
      <c r="W414" s="97" t="s">
        <v>2926</v>
      </c>
      <c r="X414" s="79" t="s">
        <v>2921</v>
      </c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  <c r="AQ414" s="88"/>
      <c r="AR414" s="88"/>
    </row>
    <row r="415" ht="19.5" customHeight="1">
      <c r="A415" s="79">
        <v>404.0</v>
      </c>
      <c r="B415" s="91" t="s">
        <v>32</v>
      </c>
      <c r="C415" s="91" t="s">
        <v>2908</v>
      </c>
      <c r="D415" s="91" t="s">
        <v>2927</v>
      </c>
      <c r="E415" s="92" t="s">
        <v>2928</v>
      </c>
      <c r="F415" s="91" t="s">
        <v>81</v>
      </c>
      <c r="G415" s="80" t="s">
        <v>42</v>
      </c>
      <c r="H415" s="80" t="s">
        <v>21</v>
      </c>
      <c r="I415" s="91" t="s">
        <v>2911</v>
      </c>
      <c r="J415" s="80" t="s">
        <v>43</v>
      </c>
      <c r="K415" s="91" t="s">
        <v>2908</v>
      </c>
      <c r="L415" s="82" t="s">
        <v>2929</v>
      </c>
      <c r="M415" s="83">
        <f t="shared" si="1"/>
        <v>300</v>
      </c>
      <c r="N415" s="84">
        <v>300.0</v>
      </c>
      <c r="O415" s="84"/>
      <c r="P415" s="84"/>
      <c r="Q415" s="94">
        <v>7730.0</v>
      </c>
      <c r="R415" s="94">
        <v>2908.0</v>
      </c>
      <c r="S415" s="95" t="s">
        <v>103</v>
      </c>
      <c r="T415" s="94">
        <v>1.0</v>
      </c>
      <c r="U415" s="96">
        <v>39609.0</v>
      </c>
      <c r="V415" s="97" t="s">
        <v>2930</v>
      </c>
      <c r="W415" s="97" t="s">
        <v>2931</v>
      </c>
      <c r="X415" s="79" t="s">
        <v>2932</v>
      </c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  <c r="AQ415" s="88"/>
      <c r="AR415" s="88"/>
    </row>
    <row r="416" ht="19.5" customHeight="1">
      <c r="A416" s="79">
        <v>405.0</v>
      </c>
      <c r="B416" s="91" t="s">
        <v>32</v>
      </c>
      <c r="C416" s="91" t="s">
        <v>2933</v>
      </c>
      <c r="D416" s="91" t="s">
        <v>2934</v>
      </c>
      <c r="E416" s="92" t="s">
        <v>2935</v>
      </c>
      <c r="F416" s="91" t="s">
        <v>81</v>
      </c>
      <c r="G416" s="80" t="s">
        <v>44</v>
      </c>
      <c r="H416" s="80" t="s">
        <v>21</v>
      </c>
      <c r="I416" s="91" t="s">
        <v>2936</v>
      </c>
      <c r="J416" s="80" t="s">
        <v>45</v>
      </c>
      <c r="K416" s="91" t="s">
        <v>2937</v>
      </c>
      <c r="L416" s="82" t="s">
        <v>2938</v>
      </c>
      <c r="M416" s="83">
        <f t="shared" si="1"/>
        <v>150</v>
      </c>
      <c r="N416" s="84">
        <v>150.0</v>
      </c>
      <c r="O416" s="84"/>
      <c r="P416" s="84"/>
      <c r="Q416" s="94">
        <v>2372.422</v>
      </c>
      <c r="R416" s="94">
        <v>1041.308</v>
      </c>
      <c r="S416" s="95" t="s">
        <v>2939</v>
      </c>
      <c r="T416" s="94">
        <v>1.0</v>
      </c>
      <c r="U416" s="96">
        <v>36935.0</v>
      </c>
      <c r="V416" s="97" t="s">
        <v>2940</v>
      </c>
      <c r="W416" s="97" t="s">
        <v>2941</v>
      </c>
      <c r="X416" s="79" t="s">
        <v>2942</v>
      </c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  <c r="AQ416" s="88"/>
      <c r="AR416" s="88"/>
    </row>
    <row r="417" ht="19.5" customHeight="1">
      <c r="A417" s="79">
        <v>406.0</v>
      </c>
      <c r="B417" s="91" t="s">
        <v>32</v>
      </c>
      <c r="C417" s="91" t="s">
        <v>2933</v>
      </c>
      <c r="D417" s="91" t="s">
        <v>2943</v>
      </c>
      <c r="E417" s="92" t="s">
        <v>2944</v>
      </c>
      <c r="F417" s="91" t="s">
        <v>81</v>
      </c>
      <c r="G417" s="80" t="s">
        <v>42</v>
      </c>
      <c r="H417" s="80" t="s">
        <v>21</v>
      </c>
      <c r="I417" s="91" t="s">
        <v>2936</v>
      </c>
      <c r="J417" s="80" t="s">
        <v>45</v>
      </c>
      <c r="K417" s="91" t="s">
        <v>2945</v>
      </c>
      <c r="L417" s="82" t="s">
        <v>2946</v>
      </c>
      <c r="M417" s="83">
        <f t="shared" si="1"/>
        <v>180</v>
      </c>
      <c r="N417" s="84"/>
      <c r="O417" s="84">
        <v>180.0</v>
      </c>
      <c r="P417" s="84"/>
      <c r="Q417" s="94">
        <v>32531.0</v>
      </c>
      <c r="R417" s="94">
        <v>9310.0</v>
      </c>
      <c r="S417" s="95" t="s">
        <v>314</v>
      </c>
      <c r="T417" s="94">
        <v>2.0</v>
      </c>
      <c r="U417" s="96">
        <v>35720.0</v>
      </c>
      <c r="V417" s="97" t="s">
        <v>2947</v>
      </c>
      <c r="W417" s="97" t="s">
        <v>2948</v>
      </c>
      <c r="X417" s="79" t="s">
        <v>2949</v>
      </c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  <c r="AQ417" s="88"/>
      <c r="AR417" s="88"/>
    </row>
    <row r="418" ht="19.5" customHeight="1">
      <c r="A418" s="79">
        <v>407.0</v>
      </c>
      <c r="B418" s="95" t="s">
        <v>32</v>
      </c>
      <c r="C418" s="95" t="s">
        <v>2933</v>
      </c>
      <c r="D418" s="95" t="s">
        <v>2950</v>
      </c>
      <c r="E418" s="100" t="s">
        <v>2951</v>
      </c>
      <c r="F418" s="95" t="s">
        <v>22</v>
      </c>
      <c r="G418" s="80" t="s">
        <v>12</v>
      </c>
      <c r="H418" s="80" t="s">
        <v>22</v>
      </c>
      <c r="I418" s="95" t="s">
        <v>2952</v>
      </c>
      <c r="J418" s="80" t="s">
        <v>43</v>
      </c>
      <c r="K418" s="95" t="s">
        <v>2952</v>
      </c>
      <c r="L418" s="82" t="s">
        <v>2953</v>
      </c>
      <c r="M418" s="83">
        <f t="shared" si="1"/>
        <v>499</v>
      </c>
      <c r="N418" s="84"/>
      <c r="O418" s="84">
        <v>499.0</v>
      </c>
      <c r="P418" s="84"/>
      <c r="Q418" s="94">
        <v>1267.0</v>
      </c>
      <c r="R418" s="94">
        <v>4169.0</v>
      </c>
      <c r="S418" s="95" t="s">
        <v>2849</v>
      </c>
      <c r="T418" s="94">
        <v>1.0</v>
      </c>
      <c r="U418" s="96">
        <v>37347.0</v>
      </c>
      <c r="V418" s="97" t="s">
        <v>2954</v>
      </c>
      <c r="W418" s="97" t="s">
        <v>2955</v>
      </c>
      <c r="X418" s="79" t="s">
        <v>2956</v>
      </c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  <c r="AQ418" s="88"/>
      <c r="AR418" s="88"/>
    </row>
    <row r="419" ht="19.5" customHeight="1">
      <c r="A419" s="79">
        <v>408.0</v>
      </c>
      <c r="B419" s="95" t="s">
        <v>32</v>
      </c>
      <c r="C419" s="95" t="s">
        <v>2957</v>
      </c>
      <c r="D419" s="95" t="s">
        <v>2958</v>
      </c>
      <c r="E419" s="100" t="s">
        <v>2959</v>
      </c>
      <c r="F419" s="95" t="s">
        <v>687</v>
      </c>
      <c r="G419" s="80" t="s">
        <v>44</v>
      </c>
      <c r="H419" s="80" t="s">
        <v>21</v>
      </c>
      <c r="I419" s="95" t="s">
        <v>2960</v>
      </c>
      <c r="J419" s="80" t="s">
        <v>43</v>
      </c>
      <c r="K419" s="95" t="s">
        <v>2957</v>
      </c>
      <c r="L419" s="127" t="s">
        <v>2961</v>
      </c>
      <c r="M419" s="83">
        <f t="shared" si="1"/>
        <v>100</v>
      </c>
      <c r="N419" s="84">
        <v>100.0</v>
      </c>
      <c r="O419" s="84"/>
      <c r="P419" s="84"/>
      <c r="Q419" s="94">
        <v>4076.0</v>
      </c>
      <c r="R419" s="94">
        <v>530.0</v>
      </c>
      <c r="S419" s="95" t="s">
        <v>291</v>
      </c>
      <c r="T419" s="94">
        <v>1.0</v>
      </c>
      <c r="U419" s="96">
        <v>37298.0</v>
      </c>
      <c r="V419" s="97" t="s">
        <v>40</v>
      </c>
      <c r="W419" s="97" t="s">
        <v>2962</v>
      </c>
      <c r="X419" s="79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  <c r="AQ419" s="88"/>
      <c r="AR419" s="88"/>
    </row>
    <row r="420" ht="19.5" customHeight="1">
      <c r="A420" s="79">
        <v>409.0</v>
      </c>
      <c r="B420" s="95" t="s">
        <v>32</v>
      </c>
      <c r="C420" s="95" t="s">
        <v>2957</v>
      </c>
      <c r="D420" s="95" t="s">
        <v>2963</v>
      </c>
      <c r="E420" s="100" t="s">
        <v>2964</v>
      </c>
      <c r="F420" s="95" t="s">
        <v>687</v>
      </c>
      <c r="G420" s="80" t="s">
        <v>44</v>
      </c>
      <c r="H420" s="80" t="s">
        <v>21</v>
      </c>
      <c r="I420" s="95" t="s">
        <v>2960</v>
      </c>
      <c r="J420" s="80" t="s">
        <v>43</v>
      </c>
      <c r="K420" s="95" t="s">
        <v>2957</v>
      </c>
      <c r="L420" s="127" t="s">
        <v>2965</v>
      </c>
      <c r="M420" s="83">
        <f t="shared" si="1"/>
        <v>50</v>
      </c>
      <c r="N420" s="84">
        <v>50.0</v>
      </c>
      <c r="O420" s="84"/>
      <c r="P420" s="84"/>
      <c r="Q420" s="94">
        <v>765.0</v>
      </c>
      <c r="R420" s="94">
        <v>509.04</v>
      </c>
      <c r="S420" s="95" t="s">
        <v>350</v>
      </c>
      <c r="T420" s="94">
        <v>1.0</v>
      </c>
      <c r="U420" s="96">
        <v>38184.0</v>
      </c>
      <c r="V420" s="97" t="s">
        <v>2966</v>
      </c>
      <c r="W420" s="97" t="s">
        <v>2962</v>
      </c>
      <c r="X420" s="79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  <c r="AQ420" s="88"/>
      <c r="AR420" s="88"/>
    </row>
    <row r="421" ht="19.5" customHeight="1">
      <c r="A421" s="79">
        <v>410.0</v>
      </c>
      <c r="B421" s="95" t="s">
        <v>32</v>
      </c>
      <c r="C421" s="95" t="s">
        <v>2957</v>
      </c>
      <c r="D421" s="95" t="s">
        <v>2967</v>
      </c>
      <c r="E421" s="100" t="s">
        <v>2968</v>
      </c>
      <c r="F421" s="95" t="s">
        <v>687</v>
      </c>
      <c r="G421" s="80" t="s">
        <v>44</v>
      </c>
      <c r="H421" s="80" t="s">
        <v>21</v>
      </c>
      <c r="I421" s="95" t="s">
        <v>2960</v>
      </c>
      <c r="J421" s="80" t="s">
        <v>43</v>
      </c>
      <c r="K421" s="95" t="s">
        <v>2957</v>
      </c>
      <c r="L421" s="127" t="s">
        <v>2969</v>
      </c>
      <c r="M421" s="83">
        <f t="shared" si="1"/>
        <v>100</v>
      </c>
      <c r="N421" s="84">
        <v>100.0</v>
      </c>
      <c r="O421" s="84"/>
      <c r="P421" s="84"/>
      <c r="Q421" s="94">
        <v>1100.0</v>
      </c>
      <c r="R421" s="94">
        <v>525.02</v>
      </c>
      <c r="S421" s="95" t="s">
        <v>350</v>
      </c>
      <c r="T421" s="94">
        <v>1.0</v>
      </c>
      <c r="U421" s="96">
        <v>37750.0</v>
      </c>
      <c r="V421" s="97" t="s">
        <v>2970</v>
      </c>
      <c r="W421" s="97" t="s">
        <v>2962</v>
      </c>
      <c r="X421" s="79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  <c r="AQ421" s="88"/>
      <c r="AR421" s="88"/>
    </row>
    <row r="422" ht="19.5" customHeight="1">
      <c r="A422" s="79">
        <v>411.0</v>
      </c>
      <c r="B422" s="95" t="s">
        <v>32</v>
      </c>
      <c r="C422" s="95" t="s">
        <v>2957</v>
      </c>
      <c r="D422" s="95" t="s">
        <v>2971</v>
      </c>
      <c r="E422" s="100" t="s">
        <v>2972</v>
      </c>
      <c r="F422" s="95" t="s">
        <v>687</v>
      </c>
      <c r="G422" s="80" t="s">
        <v>44</v>
      </c>
      <c r="H422" s="80" t="s">
        <v>21</v>
      </c>
      <c r="I422" s="95" t="s">
        <v>2960</v>
      </c>
      <c r="J422" s="80" t="s">
        <v>43</v>
      </c>
      <c r="K422" s="95" t="s">
        <v>2957</v>
      </c>
      <c r="L422" s="127" t="s">
        <v>2973</v>
      </c>
      <c r="M422" s="83">
        <f t="shared" si="1"/>
        <v>100</v>
      </c>
      <c r="N422" s="84">
        <v>100.0</v>
      </c>
      <c r="O422" s="84"/>
      <c r="P422" s="84"/>
      <c r="Q422" s="94">
        <v>551.0</v>
      </c>
      <c r="R422" s="94">
        <v>429.96</v>
      </c>
      <c r="S422" s="95" t="s">
        <v>350</v>
      </c>
      <c r="T422" s="94">
        <v>1.0</v>
      </c>
      <c r="U422" s="96">
        <v>40430.0</v>
      </c>
      <c r="V422" s="97" t="s">
        <v>2974</v>
      </c>
      <c r="W422" s="97" t="s">
        <v>2962</v>
      </c>
      <c r="X422" s="79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  <c r="AQ422" s="88"/>
      <c r="AR422" s="88"/>
    </row>
    <row r="423" ht="19.5" customHeight="1">
      <c r="A423" s="79">
        <v>412.0</v>
      </c>
      <c r="B423" s="95" t="s">
        <v>32</v>
      </c>
      <c r="C423" s="95" t="s">
        <v>2957</v>
      </c>
      <c r="D423" s="95" t="s">
        <v>2975</v>
      </c>
      <c r="E423" s="100" t="s">
        <v>2976</v>
      </c>
      <c r="F423" s="79" t="s">
        <v>687</v>
      </c>
      <c r="G423" s="80" t="s">
        <v>44</v>
      </c>
      <c r="H423" s="80" t="s">
        <v>21</v>
      </c>
      <c r="I423" s="79" t="s">
        <v>2960</v>
      </c>
      <c r="J423" s="80" t="s">
        <v>43</v>
      </c>
      <c r="K423" s="95" t="s">
        <v>2957</v>
      </c>
      <c r="L423" s="127" t="s">
        <v>2977</v>
      </c>
      <c r="M423" s="83">
        <f t="shared" si="1"/>
        <v>50</v>
      </c>
      <c r="N423" s="84">
        <v>50.0</v>
      </c>
      <c r="O423" s="84"/>
      <c r="P423" s="84"/>
      <c r="Q423" s="94">
        <v>1504.3</v>
      </c>
      <c r="R423" s="94">
        <v>430.68</v>
      </c>
      <c r="S423" s="95" t="s">
        <v>350</v>
      </c>
      <c r="T423" s="94">
        <v>1.0</v>
      </c>
      <c r="U423" s="96">
        <v>2017.6</v>
      </c>
      <c r="V423" s="97" t="s">
        <v>2978</v>
      </c>
      <c r="W423" s="97" t="s">
        <v>2962</v>
      </c>
      <c r="X423" s="79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  <c r="AQ423" s="88"/>
      <c r="AR423" s="88"/>
    </row>
    <row r="424" ht="19.5" customHeight="1">
      <c r="A424" s="79">
        <v>413.0</v>
      </c>
      <c r="B424" s="95" t="s">
        <v>32</v>
      </c>
      <c r="C424" s="95" t="s">
        <v>2957</v>
      </c>
      <c r="D424" s="95" t="s">
        <v>2958</v>
      </c>
      <c r="E424" s="100" t="s">
        <v>2979</v>
      </c>
      <c r="F424" s="95" t="s">
        <v>687</v>
      </c>
      <c r="G424" s="80" t="s">
        <v>42</v>
      </c>
      <c r="H424" s="80" t="s">
        <v>21</v>
      </c>
      <c r="I424" s="95" t="s">
        <v>2960</v>
      </c>
      <c r="J424" s="80" t="s">
        <v>43</v>
      </c>
      <c r="K424" s="95" t="s">
        <v>2957</v>
      </c>
      <c r="L424" s="127" t="s">
        <v>2980</v>
      </c>
      <c r="M424" s="83">
        <f t="shared" si="1"/>
        <v>100</v>
      </c>
      <c r="N424" s="84">
        <v>100.0</v>
      </c>
      <c r="O424" s="84"/>
      <c r="P424" s="84"/>
      <c r="Q424" s="94">
        <v>6022.0</v>
      </c>
      <c r="R424" s="94">
        <v>3094.529</v>
      </c>
      <c r="S424" s="95" t="s">
        <v>103</v>
      </c>
      <c r="T424" s="94">
        <v>1.0</v>
      </c>
      <c r="U424" s="96">
        <v>37056.0</v>
      </c>
      <c r="V424" s="97" t="s">
        <v>2981</v>
      </c>
      <c r="W424" s="97" t="s">
        <v>2962</v>
      </c>
      <c r="X424" s="79"/>
      <c r="Y424" s="104"/>
      <c r="Z424" s="104"/>
      <c r="AA424" s="104"/>
      <c r="AB424" s="104"/>
      <c r="AC424" s="104"/>
      <c r="AD424" s="104"/>
      <c r="AE424" s="104"/>
      <c r="AF424" s="104"/>
      <c r="AG424" s="104"/>
      <c r="AH424" s="104"/>
      <c r="AI424" s="104"/>
      <c r="AJ424" s="104"/>
      <c r="AK424" s="104"/>
      <c r="AL424" s="104"/>
      <c r="AM424" s="104"/>
      <c r="AN424" s="104"/>
      <c r="AO424" s="104"/>
      <c r="AP424" s="104"/>
      <c r="AQ424" s="104"/>
      <c r="AR424" s="104"/>
    </row>
    <row r="425" ht="19.5" customHeight="1">
      <c r="A425" s="79">
        <v>414.0</v>
      </c>
      <c r="B425" s="95" t="s">
        <v>32</v>
      </c>
      <c r="C425" s="95" t="s">
        <v>2957</v>
      </c>
      <c r="D425" s="95" t="s">
        <v>2958</v>
      </c>
      <c r="E425" s="100" t="s">
        <v>2982</v>
      </c>
      <c r="F425" s="95" t="s">
        <v>687</v>
      </c>
      <c r="G425" s="80" t="s">
        <v>48</v>
      </c>
      <c r="H425" s="80" t="s">
        <v>21</v>
      </c>
      <c r="I425" s="95" t="s">
        <v>2960</v>
      </c>
      <c r="J425" s="80" t="s">
        <v>43</v>
      </c>
      <c r="K425" s="95" t="s">
        <v>2957</v>
      </c>
      <c r="L425" s="127" t="s">
        <v>2980</v>
      </c>
      <c r="M425" s="83">
        <f t="shared" si="1"/>
        <v>500</v>
      </c>
      <c r="N425" s="84"/>
      <c r="O425" s="84"/>
      <c r="P425" s="84">
        <v>500.0</v>
      </c>
      <c r="Q425" s="94">
        <v>41920.0</v>
      </c>
      <c r="R425" s="94">
        <v>812.0</v>
      </c>
      <c r="S425" s="95" t="s">
        <v>704</v>
      </c>
      <c r="T425" s="94">
        <v>1.0</v>
      </c>
      <c r="U425" s="96">
        <v>37934.0</v>
      </c>
      <c r="V425" s="97" t="s">
        <v>2983</v>
      </c>
      <c r="W425" s="97" t="s">
        <v>2962</v>
      </c>
      <c r="X425" s="79"/>
      <c r="Y425" s="104"/>
      <c r="Z425" s="104"/>
      <c r="AA425" s="104"/>
      <c r="AB425" s="104"/>
      <c r="AC425" s="104"/>
      <c r="AD425" s="104"/>
      <c r="AE425" s="104"/>
      <c r="AF425" s="104"/>
      <c r="AG425" s="104"/>
      <c r="AH425" s="104"/>
      <c r="AI425" s="104"/>
      <c r="AJ425" s="104"/>
      <c r="AK425" s="104"/>
      <c r="AL425" s="104"/>
      <c r="AM425" s="104"/>
      <c r="AN425" s="104"/>
      <c r="AO425" s="104"/>
      <c r="AP425" s="104"/>
      <c r="AQ425" s="104"/>
      <c r="AR425" s="104"/>
    </row>
    <row r="426" ht="19.5" customHeight="1">
      <c r="A426" s="79">
        <v>415.0</v>
      </c>
      <c r="B426" s="91" t="s">
        <v>32</v>
      </c>
      <c r="C426" s="91" t="s">
        <v>2984</v>
      </c>
      <c r="D426" s="91" t="s">
        <v>2985</v>
      </c>
      <c r="E426" s="92" t="s">
        <v>2986</v>
      </c>
      <c r="F426" s="91" t="s">
        <v>687</v>
      </c>
      <c r="G426" s="80" t="s">
        <v>42</v>
      </c>
      <c r="H426" s="80" t="s">
        <v>21</v>
      </c>
      <c r="I426" s="91" t="s">
        <v>2987</v>
      </c>
      <c r="J426" s="80" t="s">
        <v>43</v>
      </c>
      <c r="K426" s="91" t="s">
        <v>2984</v>
      </c>
      <c r="L426" s="82" t="s">
        <v>2988</v>
      </c>
      <c r="M426" s="83">
        <f t="shared" si="1"/>
        <v>187</v>
      </c>
      <c r="N426" s="84">
        <v>187.0</v>
      </c>
      <c r="O426" s="84"/>
      <c r="P426" s="84"/>
      <c r="Q426" s="94">
        <v>2052.0</v>
      </c>
      <c r="R426" s="94">
        <v>2694.46</v>
      </c>
      <c r="S426" s="95" t="s">
        <v>2989</v>
      </c>
      <c r="T426" s="94">
        <v>1.0</v>
      </c>
      <c r="U426" s="96">
        <v>41642.0</v>
      </c>
      <c r="V426" s="97" t="s">
        <v>2990</v>
      </c>
      <c r="W426" s="97" t="s">
        <v>2991</v>
      </c>
      <c r="X426" s="79" t="s">
        <v>2992</v>
      </c>
      <c r="Y426" s="104"/>
      <c r="Z426" s="104"/>
      <c r="AA426" s="104"/>
      <c r="AB426" s="104"/>
      <c r="AC426" s="104"/>
      <c r="AD426" s="104"/>
      <c r="AE426" s="104"/>
      <c r="AF426" s="104"/>
      <c r="AG426" s="104"/>
      <c r="AH426" s="104"/>
      <c r="AI426" s="104"/>
      <c r="AJ426" s="104"/>
      <c r="AK426" s="104"/>
      <c r="AL426" s="104"/>
      <c r="AM426" s="104"/>
      <c r="AN426" s="104"/>
      <c r="AO426" s="104"/>
      <c r="AP426" s="104"/>
      <c r="AQ426" s="104"/>
      <c r="AR426" s="104"/>
    </row>
    <row r="427" ht="19.5" customHeight="1">
      <c r="A427" s="79">
        <v>416.0</v>
      </c>
      <c r="B427" s="91" t="s">
        <v>32</v>
      </c>
      <c r="C427" s="91" t="s">
        <v>2993</v>
      </c>
      <c r="D427" s="91" t="s">
        <v>2994</v>
      </c>
      <c r="E427" s="92" t="s">
        <v>2995</v>
      </c>
      <c r="F427" s="91" t="s">
        <v>687</v>
      </c>
      <c r="G427" s="80" t="s">
        <v>44</v>
      </c>
      <c r="H427" s="80" t="s">
        <v>21</v>
      </c>
      <c r="I427" s="91" t="s">
        <v>2996</v>
      </c>
      <c r="J427" s="80" t="s">
        <v>45</v>
      </c>
      <c r="K427" s="91" t="s">
        <v>2390</v>
      </c>
      <c r="L427" s="82" t="s">
        <v>2997</v>
      </c>
      <c r="M427" s="83">
        <f t="shared" si="1"/>
        <v>100</v>
      </c>
      <c r="N427" s="84">
        <v>100.0</v>
      </c>
      <c r="O427" s="84"/>
      <c r="P427" s="84"/>
      <c r="Q427" s="94">
        <v>1694.0</v>
      </c>
      <c r="R427" s="94">
        <v>1352.63</v>
      </c>
      <c r="S427" s="95" t="s">
        <v>103</v>
      </c>
      <c r="T427" s="94">
        <v>1.0</v>
      </c>
      <c r="U427" s="96">
        <v>43756.0</v>
      </c>
      <c r="V427" s="97" t="s">
        <v>2998</v>
      </c>
      <c r="W427" s="97" t="s">
        <v>2999</v>
      </c>
      <c r="X427" s="79" t="s">
        <v>3000</v>
      </c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  <c r="AQ427" s="88"/>
      <c r="AR427" s="88"/>
    </row>
    <row r="428" ht="19.5" customHeight="1">
      <c r="A428" s="79">
        <v>417.0</v>
      </c>
      <c r="B428" s="95" t="s">
        <v>32</v>
      </c>
      <c r="C428" s="95" t="s">
        <v>2993</v>
      </c>
      <c r="D428" s="95" t="s">
        <v>3001</v>
      </c>
      <c r="E428" s="100" t="s">
        <v>3002</v>
      </c>
      <c r="F428" s="95" t="s">
        <v>687</v>
      </c>
      <c r="G428" s="80" t="s">
        <v>42</v>
      </c>
      <c r="H428" s="80" t="s">
        <v>21</v>
      </c>
      <c r="I428" s="95" t="s">
        <v>2996</v>
      </c>
      <c r="J428" s="80" t="s">
        <v>45</v>
      </c>
      <c r="K428" s="95" t="s">
        <v>3003</v>
      </c>
      <c r="L428" s="82" t="s">
        <v>3004</v>
      </c>
      <c r="M428" s="83">
        <f t="shared" si="1"/>
        <v>500</v>
      </c>
      <c r="N428" s="84">
        <v>500.0</v>
      </c>
      <c r="O428" s="84"/>
      <c r="P428" s="84"/>
      <c r="Q428" s="94">
        <v>120780.0</v>
      </c>
      <c r="R428" s="94">
        <v>2895.0</v>
      </c>
      <c r="S428" s="95" t="s">
        <v>3005</v>
      </c>
      <c r="T428" s="94">
        <v>1.0</v>
      </c>
      <c r="U428" s="96">
        <v>41248.0</v>
      </c>
      <c r="V428" s="97" t="s">
        <v>3006</v>
      </c>
      <c r="W428" s="97" t="s">
        <v>3007</v>
      </c>
      <c r="X428" s="79" t="s">
        <v>3008</v>
      </c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  <c r="AQ428" s="88"/>
      <c r="AR428" s="88"/>
    </row>
    <row r="429" ht="19.5" customHeight="1">
      <c r="A429" s="79">
        <v>418.0</v>
      </c>
      <c r="B429" s="95" t="s">
        <v>32</v>
      </c>
      <c r="C429" s="95" t="s">
        <v>2993</v>
      </c>
      <c r="D429" s="95" t="s">
        <v>3001</v>
      </c>
      <c r="E429" s="100" t="s">
        <v>3009</v>
      </c>
      <c r="F429" s="95" t="s">
        <v>687</v>
      </c>
      <c r="G429" s="80" t="s">
        <v>12</v>
      </c>
      <c r="H429" s="80" t="s">
        <v>21</v>
      </c>
      <c r="I429" s="95" t="s">
        <v>2996</v>
      </c>
      <c r="J429" s="80" t="s">
        <v>45</v>
      </c>
      <c r="K429" s="95" t="s">
        <v>3010</v>
      </c>
      <c r="L429" s="82" t="s">
        <v>3011</v>
      </c>
      <c r="M429" s="83">
        <f t="shared" si="1"/>
        <v>50</v>
      </c>
      <c r="N429" s="84"/>
      <c r="O429" s="84">
        <v>50.0</v>
      </c>
      <c r="P429" s="84"/>
      <c r="Q429" s="94">
        <v>170042.0</v>
      </c>
      <c r="R429" s="94">
        <v>2158.0</v>
      </c>
      <c r="S429" s="95" t="s">
        <v>3012</v>
      </c>
      <c r="T429" s="94">
        <v>1.0</v>
      </c>
      <c r="U429" s="96">
        <v>43296.0</v>
      </c>
      <c r="V429" s="97" t="s">
        <v>3013</v>
      </c>
      <c r="W429" s="97" t="s">
        <v>3014</v>
      </c>
      <c r="X429" s="79" t="s">
        <v>3015</v>
      </c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  <c r="AQ429" s="88"/>
      <c r="AR429" s="88"/>
    </row>
    <row r="430" ht="19.5" customHeight="1">
      <c r="A430" s="79">
        <v>419.0</v>
      </c>
      <c r="B430" s="95" t="s">
        <v>32</v>
      </c>
      <c r="C430" s="95" t="s">
        <v>3016</v>
      </c>
      <c r="D430" s="95" t="s">
        <v>3017</v>
      </c>
      <c r="E430" s="100" t="s">
        <v>3018</v>
      </c>
      <c r="F430" s="95" t="s">
        <v>81</v>
      </c>
      <c r="G430" s="80" t="s">
        <v>44</v>
      </c>
      <c r="H430" s="80" t="s">
        <v>21</v>
      </c>
      <c r="I430" s="95" t="s">
        <v>3019</v>
      </c>
      <c r="J430" s="80" t="s">
        <v>45</v>
      </c>
      <c r="K430" s="95" t="s">
        <v>3020</v>
      </c>
      <c r="L430" s="127" t="s">
        <v>3021</v>
      </c>
      <c r="M430" s="83">
        <f t="shared" si="1"/>
        <v>100</v>
      </c>
      <c r="N430" s="84">
        <v>100.0</v>
      </c>
      <c r="O430" s="84"/>
      <c r="P430" s="84"/>
      <c r="Q430" s="94">
        <v>3296.0</v>
      </c>
      <c r="R430" s="94">
        <v>749.0</v>
      </c>
      <c r="S430" s="95" t="s">
        <v>350</v>
      </c>
      <c r="T430" s="94">
        <v>1.0</v>
      </c>
      <c r="U430" s="96">
        <v>38754.0</v>
      </c>
      <c r="V430" s="97" t="s">
        <v>3022</v>
      </c>
      <c r="W430" s="97" t="s">
        <v>3023</v>
      </c>
      <c r="X430" s="79" t="s">
        <v>3024</v>
      </c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  <c r="AQ430" s="88"/>
      <c r="AR430" s="88"/>
    </row>
    <row r="431" ht="19.5" customHeight="1">
      <c r="A431" s="79">
        <v>420.0</v>
      </c>
      <c r="B431" s="95" t="s">
        <v>32</v>
      </c>
      <c r="C431" s="95" t="s">
        <v>3016</v>
      </c>
      <c r="D431" s="95" t="s">
        <v>1738</v>
      </c>
      <c r="E431" s="100" t="s">
        <v>3025</v>
      </c>
      <c r="F431" s="95" t="s">
        <v>81</v>
      </c>
      <c r="G431" s="80" t="s">
        <v>44</v>
      </c>
      <c r="H431" s="80" t="s">
        <v>21</v>
      </c>
      <c r="I431" s="95" t="s">
        <v>3019</v>
      </c>
      <c r="J431" s="80" t="s">
        <v>45</v>
      </c>
      <c r="K431" s="95" t="s">
        <v>3020</v>
      </c>
      <c r="L431" s="127" t="s">
        <v>3026</v>
      </c>
      <c r="M431" s="83">
        <f t="shared" si="1"/>
        <v>100</v>
      </c>
      <c r="N431" s="84">
        <v>100.0</v>
      </c>
      <c r="O431" s="84"/>
      <c r="P431" s="84"/>
      <c r="Q431" s="94">
        <v>469.0</v>
      </c>
      <c r="R431" s="94" t="s">
        <v>3027</v>
      </c>
      <c r="S431" s="95" t="s">
        <v>2989</v>
      </c>
      <c r="T431" s="94">
        <v>1.0</v>
      </c>
      <c r="U431" s="96">
        <v>40239.0</v>
      </c>
      <c r="V431" s="97" t="s">
        <v>3028</v>
      </c>
      <c r="W431" s="97" t="s">
        <v>3029</v>
      </c>
      <c r="X431" s="79" t="s">
        <v>3030</v>
      </c>
      <c r="Y431" s="98"/>
      <c r="Z431" s="98"/>
      <c r="AA431" s="98"/>
      <c r="AB431" s="98"/>
      <c r="AC431" s="98"/>
      <c r="AD431" s="98"/>
      <c r="AE431" s="98"/>
      <c r="AF431" s="98"/>
      <c r="AG431" s="98"/>
      <c r="AH431" s="98"/>
      <c r="AI431" s="98"/>
      <c r="AJ431" s="98"/>
      <c r="AK431" s="98"/>
      <c r="AL431" s="98"/>
      <c r="AM431" s="98"/>
      <c r="AN431" s="98"/>
      <c r="AO431" s="98"/>
      <c r="AP431" s="98"/>
      <c r="AQ431" s="98"/>
      <c r="AR431" s="98"/>
    </row>
    <row r="432" ht="19.5" customHeight="1">
      <c r="A432" s="79">
        <v>421.0</v>
      </c>
      <c r="B432" s="95" t="s">
        <v>32</v>
      </c>
      <c r="C432" s="95" t="s">
        <v>3016</v>
      </c>
      <c r="D432" s="95" t="s">
        <v>3031</v>
      </c>
      <c r="E432" s="100" t="s">
        <v>3032</v>
      </c>
      <c r="F432" s="95" t="s">
        <v>81</v>
      </c>
      <c r="G432" s="80" t="s">
        <v>44</v>
      </c>
      <c r="H432" s="80" t="s">
        <v>21</v>
      </c>
      <c r="I432" s="95" t="s">
        <v>3019</v>
      </c>
      <c r="J432" s="80" t="s">
        <v>45</v>
      </c>
      <c r="K432" s="95" t="s">
        <v>3003</v>
      </c>
      <c r="L432" s="127" t="s">
        <v>3033</v>
      </c>
      <c r="M432" s="83">
        <f t="shared" si="1"/>
        <v>100</v>
      </c>
      <c r="N432" s="84">
        <v>100.0</v>
      </c>
      <c r="O432" s="84"/>
      <c r="P432" s="84"/>
      <c r="Q432" s="94">
        <v>4500.0</v>
      </c>
      <c r="R432" s="94">
        <v>994.64</v>
      </c>
      <c r="S432" s="95" t="s">
        <v>314</v>
      </c>
      <c r="T432" s="94">
        <v>1.0</v>
      </c>
      <c r="U432" s="96">
        <v>43132.0</v>
      </c>
      <c r="V432" s="97" t="s">
        <v>3034</v>
      </c>
      <c r="W432" s="97" t="s">
        <v>3035</v>
      </c>
      <c r="X432" s="79" t="s">
        <v>3036</v>
      </c>
      <c r="Y432" s="98"/>
      <c r="Z432" s="98"/>
      <c r="AA432" s="98"/>
      <c r="AB432" s="98"/>
      <c r="AC432" s="98"/>
      <c r="AD432" s="98"/>
      <c r="AE432" s="98"/>
      <c r="AF432" s="98"/>
      <c r="AG432" s="98"/>
      <c r="AH432" s="98"/>
      <c r="AI432" s="98"/>
      <c r="AJ432" s="98"/>
      <c r="AK432" s="98"/>
      <c r="AL432" s="98"/>
      <c r="AM432" s="98"/>
      <c r="AN432" s="98"/>
      <c r="AO432" s="98"/>
      <c r="AP432" s="98"/>
      <c r="AQ432" s="98"/>
      <c r="AR432" s="98"/>
    </row>
    <row r="433" ht="19.5" customHeight="1">
      <c r="A433" s="79">
        <v>422.0</v>
      </c>
      <c r="B433" s="95" t="s">
        <v>32</v>
      </c>
      <c r="C433" s="95" t="s">
        <v>3016</v>
      </c>
      <c r="D433" s="95" t="s">
        <v>3037</v>
      </c>
      <c r="E433" s="100" t="s">
        <v>3038</v>
      </c>
      <c r="F433" s="95" t="s">
        <v>81</v>
      </c>
      <c r="G433" s="80" t="s">
        <v>42</v>
      </c>
      <c r="H433" s="80" t="s">
        <v>21</v>
      </c>
      <c r="I433" s="95" t="s">
        <v>3019</v>
      </c>
      <c r="J433" s="80" t="s">
        <v>45</v>
      </c>
      <c r="K433" s="95" t="s">
        <v>3003</v>
      </c>
      <c r="L433" s="127" t="s">
        <v>3039</v>
      </c>
      <c r="M433" s="83">
        <f t="shared" si="1"/>
        <v>500</v>
      </c>
      <c r="N433" s="84">
        <v>500.0</v>
      </c>
      <c r="O433" s="84"/>
      <c r="P433" s="84"/>
      <c r="Q433" s="94">
        <v>9900.0</v>
      </c>
      <c r="R433" s="94">
        <v>7292.39</v>
      </c>
      <c r="S433" s="95" t="s">
        <v>2989</v>
      </c>
      <c r="T433" s="94">
        <v>3.0</v>
      </c>
      <c r="U433" s="96">
        <v>34782.0</v>
      </c>
      <c r="V433" s="97" t="s">
        <v>3040</v>
      </c>
      <c r="W433" s="97" t="s">
        <v>3041</v>
      </c>
      <c r="X433" s="79" t="s">
        <v>3042</v>
      </c>
      <c r="Y433" s="98"/>
      <c r="Z433" s="98"/>
      <c r="AA433" s="98"/>
      <c r="AB433" s="98"/>
      <c r="AC433" s="98"/>
      <c r="AD433" s="98"/>
      <c r="AE433" s="98"/>
      <c r="AF433" s="98"/>
      <c r="AG433" s="98"/>
      <c r="AH433" s="98"/>
      <c r="AI433" s="98"/>
      <c r="AJ433" s="98"/>
      <c r="AK433" s="98"/>
      <c r="AL433" s="98"/>
      <c r="AM433" s="98"/>
      <c r="AN433" s="98"/>
      <c r="AO433" s="98"/>
      <c r="AP433" s="98"/>
      <c r="AQ433" s="98"/>
      <c r="AR433" s="98"/>
    </row>
    <row r="434" ht="19.5" customHeight="1">
      <c r="A434" s="79">
        <v>423.0</v>
      </c>
      <c r="B434" s="95" t="s">
        <v>32</v>
      </c>
      <c r="C434" s="95" t="s">
        <v>3016</v>
      </c>
      <c r="D434" s="95" t="s">
        <v>3043</v>
      </c>
      <c r="E434" s="100" t="s">
        <v>3044</v>
      </c>
      <c r="F434" s="95" t="s">
        <v>22</v>
      </c>
      <c r="G434" s="80" t="s">
        <v>46</v>
      </c>
      <c r="H434" s="80" t="s">
        <v>22</v>
      </c>
      <c r="I434" s="95" t="s">
        <v>3045</v>
      </c>
      <c r="J434" s="80" t="s">
        <v>43</v>
      </c>
      <c r="K434" s="95" t="s">
        <v>3046</v>
      </c>
      <c r="L434" s="127" t="s">
        <v>3047</v>
      </c>
      <c r="M434" s="83">
        <f t="shared" si="1"/>
        <v>221</v>
      </c>
      <c r="N434" s="84"/>
      <c r="O434" s="84">
        <v>221.0</v>
      </c>
      <c r="P434" s="84"/>
      <c r="Q434" s="94">
        <v>2462.0</v>
      </c>
      <c r="R434" s="94">
        <v>1539.0</v>
      </c>
      <c r="S434" s="95" t="s">
        <v>2849</v>
      </c>
      <c r="T434" s="94">
        <v>1.0</v>
      </c>
      <c r="U434" s="96">
        <v>34222.0</v>
      </c>
      <c r="V434" s="97" t="s">
        <v>3048</v>
      </c>
      <c r="W434" s="97" t="s">
        <v>3049</v>
      </c>
      <c r="X434" s="79" t="s">
        <v>3050</v>
      </c>
      <c r="Y434" s="98"/>
      <c r="Z434" s="98"/>
      <c r="AA434" s="98"/>
      <c r="AB434" s="98"/>
      <c r="AC434" s="98"/>
      <c r="AD434" s="98"/>
      <c r="AE434" s="98"/>
      <c r="AF434" s="98"/>
      <c r="AG434" s="98"/>
      <c r="AH434" s="98"/>
      <c r="AI434" s="98"/>
      <c r="AJ434" s="98"/>
      <c r="AK434" s="98"/>
      <c r="AL434" s="98"/>
      <c r="AM434" s="98"/>
      <c r="AN434" s="98"/>
      <c r="AO434" s="98"/>
      <c r="AP434" s="98"/>
      <c r="AQ434" s="98"/>
      <c r="AR434" s="98"/>
    </row>
    <row r="435" ht="19.5" customHeight="1">
      <c r="A435" s="79">
        <v>424.0</v>
      </c>
      <c r="B435" s="95" t="s">
        <v>32</v>
      </c>
      <c r="C435" s="95" t="s">
        <v>3016</v>
      </c>
      <c r="D435" s="95" t="s">
        <v>3051</v>
      </c>
      <c r="E435" s="100" t="s">
        <v>3052</v>
      </c>
      <c r="F435" s="95" t="s">
        <v>22</v>
      </c>
      <c r="G435" s="80" t="s">
        <v>46</v>
      </c>
      <c r="H435" s="80" t="s">
        <v>22</v>
      </c>
      <c r="I435" s="95" t="s">
        <v>3053</v>
      </c>
      <c r="J435" s="80" t="s">
        <v>43</v>
      </c>
      <c r="K435" s="95" t="s">
        <v>3054</v>
      </c>
      <c r="L435" s="127" t="s">
        <v>3055</v>
      </c>
      <c r="M435" s="83">
        <f t="shared" si="1"/>
        <v>630</v>
      </c>
      <c r="N435" s="84"/>
      <c r="O435" s="84">
        <v>630.0</v>
      </c>
      <c r="P435" s="84"/>
      <c r="Q435" s="94">
        <v>11130.0</v>
      </c>
      <c r="R435" s="94">
        <v>5609.0</v>
      </c>
      <c r="S435" s="95" t="s">
        <v>3056</v>
      </c>
      <c r="T435" s="94">
        <v>1.0</v>
      </c>
      <c r="U435" s="96">
        <v>39813.0</v>
      </c>
      <c r="V435" s="97" t="s">
        <v>3057</v>
      </c>
      <c r="W435" s="97" t="s">
        <v>3058</v>
      </c>
      <c r="X435" s="79" t="s">
        <v>3059</v>
      </c>
      <c r="Y435" s="130"/>
      <c r="Z435" s="130"/>
      <c r="AA435" s="130"/>
      <c r="AB435" s="130"/>
      <c r="AC435" s="130"/>
      <c r="AD435" s="130"/>
      <c r="AE435" s="130"/>
      <c r="AF435" s="130"/>
      <c r="AG435" s="130"/>
      <c r="AH435" s="130"/>
      <c r="AI435" s="130"/>
      <c r="AJ435" s="130"/>
      <c r="AK435" s="130"/>
      <c r="AL435" s="130"/>
      <c r="AM435" s="130"/>
      <c r="AN435" s="130"/>
      <c r="AO435" s="130"/>
      <c r="AP435" s="130"/>
      <c r="AQ435" s="130"/>
      <c r="AR435" s="130"/>
    </row>
    <row r="436" ht="19.5" customHeight="1">
      <c r="A436" s="79">
        <v>425.0</v>
      </c>
      <c r="B436" s="95" t="s">
        <v>32</v>
      </c>
      <c r="C436" s="95" t="s">
        <v>3016</v>
      </c>
      <c r="D436" s="95" t="s">
        <v>3043</v>
      </c>
      <c r="E436" s="100" t="s">
        <v>3060</v>
      </c>
      <c r="F436" s="95" t="s">
        <v>22</v>
      </c>
      <c r="G436" s="80" t="s">
        <v>12</v>
      </c>
      <c r="H436" s="80" t="s">
        <v>22</v>
      </c>
      <c r="I436" s="95" t="s">
        <v>3061</v>
      </c>
      <c r="J436" s="80" t="s">
        <v>43</v>
      </c>
      <c r="K436" s="95" t="s">
        <v>3062</v>
      </c>
      <c r="L436" s="127" t="s">
        <v>3063</v>
      </c>
      <c r="M436" s="83">
        <f t="shared" si="1"/>
        <v>741</v>
      </c>
      <c r="N436" s="84"/>
      <c r="O436" s="84">
        <v>741.0</v>
      </c>
      <c r="P436" s="84"/>
      <c r="Q436" s="94">
        <v>7743.0</v>
      </c>
      <c r="R436" s="94">
        <v>4172.0</v>
      </c>
      <c r="S436" s="95" t="s">
        <v>85</v>
      </c>
      <c r="T436" s="94">
        <v>4.0</v>
      </c>
      <c r="U436" s="96">
        <v>35171.0</v>
      </c>
      <c r="V436" s="97" t="s">
        <v>3064</v>
      </c>
      <c r="W436" s="97" t="s">
        <v>3065</v>
      </c>
      <c r="X436" s="79" t="s">
        <v>3066</v>
      </c>
      <c r="Y436" s="98"/>
      <c r="Z436" s="98"/>
      <c r="AA436" s="98"/>
      <c r="AB436" s="98"/>
      <c r="AC436" s="98"/>
      <c r="AD436" s="98"/>
      <c r="AE436" s="98"/>
      <c r="AF436" s="98"/>
      <c r="AG436" s="98"/>
      <c r="AH436" s="98"/>
      <c r="AI436" s="98"/>
      <c r="AJ436" s="98"/>
      <c r="AK436" s="98"/>
      <c r="AL436" s="98"/>
      <c r="AM436" s="98"/>
      <c r="AN436" s="98"/>
      <c r="AO436" s="98"/>
      <c r="AP436" s="98"/>
      <c r="AQ436" s="98"/>
      <c r="AR436" s="98"/>
    </row>
    <row r="437" ht="19.5" customHeight="1">
      <c r="A437" s="79">
        <v>426.0</v>
      </c>
      <c r="B437" s="91" t="s">
        <v>32</v>
      </c>
      <c r="C437" s="91" t="s">
        <v>3067</v>
      </c>
      <c r="D437" s="91" t="s">
        <v>3068</v>
      </c>
      <c r="E437" s="92" t="s">
        <v>3069</v>
      </c>
      <c r="F437" s="128" t="s">
        <v>687</v>
      </c>
      <c r="G437" s="80" t="s">
        <v>44</v>
      </c>
      <c r="H437" s="80" t="s">
        <v>21</v>
      </c>
      <c r="I437" s="128" t="s">
        <v>3070</v>
      </c>
      <c r="J437" s="80" t="s">
        <v>43</v>
      </c>
      <c r="K437" s="128" t="s">
        <v>3067</v>
      </c>
      <c r="L437" s="82" t="s">
        <v>3071</v>
      </c>
      <c r="M437" s="83">
        <f t="shared" si="1"/>
        <v>60</v>
      </c>
      <c r="N437" s="84">
        <v>60.0</v>
      </c>
      <c r="O437" s="84"/>
      <c r="P437" s="84"/>
      <c r="Q437" s="94">
        <v>3258.0</v>
      </c>
      <c r="R437" s="94">
        <v>1323.0</v>
      </c>
      <c r="S437" s="95" t="s">
        <v>103</v>
      </c>
      <c r="T437" s="94">
        <v>1.0</v>
      </c>
      <c r="U437" s="96">
        <v>43831.0</v>
      </c>
      <c r="V437" s="97" t="s">
        <v>3072</v>
      </c>
      <c r="W437" s="97" t="s">
        <v>3073</v>
      </c>
      <c r="X437" s="79" t="s">
        <v>3074</v>
      </c>
      <c r="Y437" s="98"/>
      <c r="Z437" s="98"/>
      <c r="AA437" s="98"/>
      <c r="AB437" s="98"/>
      <c r="AC437" s="98"/>
      <c r="AD437" s="98"/>
      <c r="AE437" s="98"/>
      <c r="AF437" s="98"/>
      <c r="AG437" s="98"/>
      <c r="AH437" s="98"/>
      <c r="AI437" s="98"/>
      <c r="AJ437" s="98"/>
      <c r="AK437" s="98"/>
      <c r="AL437" s="98"/>
      <c r="AM437" s="98"/>
      <c r="AN437" s="98"/>
      <c r="AO437" s="98"/>
      <c r="AP437" s="98"/>
      <c r="AQ437" s="98"/>
      <c r="AR437" s="98"/>
    </row>
    <row r="438" ht="19.5" customHeight="1">
      <c r="A438" s="79">
        <v>427.0</v>
      </c>
      <c r="B438" s="95" t="s">
        <v>32</v>
      </c>
      <c r="C438" s="95" t="s">
        <v>3067</v>
      </c>
      <c r="D438" s="95" t="s">
        <v>3075</v>
      </c>
      <c r="E438" s="100" t="s">
        <v>3076</v>
      </c>
      <c r="F438" s="95" t="s">
        <v>687</v>
      </c>
      <c r="G438" s="80" t="s">
        <v>44</v>
      </c>
      <c r="H438" s="80" t="s">
        <v>21</v>
      </c>
      <c r="I438" s="95" t="s">
        <v>3070</v>
      </c>
      <c r="J438" s="80" t="s">
        <v>43</v>
      </c>
      <c r="K438" s="95" t="s">
        <v>3067</v>
      </c>
      <c r="L438" s="82" t="s">
        <v>3077</v>
      </c>
      <c r="M438" s="83">
        <f t="shared" si="1"/>
        <v>80</v>
      </c>
      <c r="N438" s="84">
        <v>80.0</v>
      </c>
      <c r="O438" s="84"/>
      <c r="P438" s="84"/>
      <c r="Q438" s="94">
        <v>1823.0</v>
      </c>
      <c r="R438" s="94">
        <v>633.0</v>
      </c>
      <c r="S438" s="95" t="s">
        <v>350</v>
      </c>
      <c r="T438" s="94">
        <v>1.0</v>
      </c>
      <c r="U438" s="96">
        <v>36101.0</v>
      </c>
      <c r="V438" s="97" t="s">
        <v>3078</v>
      </c>
      <c r="W438" s="97" t="s">
        <v>3079</v>
      </c>
      <c r="X438" s="79" t="s">
        <v>3074</v>
      </c>
      <c r="Y438" s="98"/>
      <c r="Z438" s="98"/>
      <c r="AA438" s="98"/>
      <c r="AB438" s="98"/>
      <c r="AC438" s="98"/>
      <c r="AD438" s="98"/>
      <c r="AE438" s="98"/>
      <c r="AF438" s="98"/>
      <c r="AG438" s="98"/>
      <c r="AH438" s="98"/>
      <c r="AI438" s="98"/>
      <c r="AJ438" s="98"/>
      <c r="AK438" s="98"/>
      <c r="AL438" s="98"/>
      <c r="AM438" s="98"/>
      <c r="AN438" s="98"/>
      <c r="AO438" s="98"/>
      <c r="AP438" s="98"/>
      <c r="AQ438" s="98"/>
      <c r="AR438" s="98"/>
    </row>
    <row r="439" ht="19.5" customHeight="1">
      <c r="A439" s="79">
        <v>428.0</v>
      </c>
      <c r="B439" s="95" t="s">
        <v>32</v>
      </c>
      <c r="C439" s="95" t="s">
        <v>3067</v>
      </c>
      <c r="D439" s="95" t="s">
        <v>1585</v>
      </c>
      <c r="E439" s="100" t="s">
        <v>3080</v>
      </c>
      <c r="F439" s="95" t="s">
        <v>687</v>
      </c>
      <c r="G439" s="80" t="s">
        <v>44</v>
      </c>
      <c r="H439" s="80" t="s">
        <v>21</v>
      </c>
      <c r="I439" s="95" t="s">
        <v>3070</v>
      </c>
      <c r="J439" s="80" t="s">
        <v>43</v>
      </c>
      <c r="K439" s="95" t="s">
        <v>3067</v>
      </c>
      <c r="L439" s="82" t="s">
        <v>3081</v>
      </c>
      <c r="M439" s="83">
        <f t="shared" si="1"/>
        <v>60</v>
      </c>
      <c r="N439" s="84">
        <v>60.0</v>
      </c>
      <c r="O439" s="84"/>
      <c r="P439" s="84"/>
      <c r="Q439" s="94">
        <v>1426.0</v>
      </c>
      <c r="R439" s="94">
        <v>759.0</v>
      </c>
      <c r="S439" s="95" t="s">
        <v>103</v>
      </c>
      <c r="T439" s="94">
        <v>1.0</v>
      </c>
      <c r="U439" s="96">
        <v>35747.0</v>
      </c>
      <c r="V439" s="97" t="s">
        <v>3082</v>
      </c>
      <c r="W439" s="97" t="s">
        <v>3083</v>
      </c>
      <c r="X439" s="79" t="s">
        <v>3074</v>
      </c>
      <c r="Y439" s="98"/>
      <c r="Z439" s="98"/>
      <c r="AA439" s="98"/>
      <c r="AB439" s="98"/>
      <c r="AC439" s="98"/>
      <c r="AD439" s="98"/>
      <c r="AE439" s="98"/>
      <c r="AF439" s="98"/>
      <c r="AG439" s="98"/>
      <c r="AH439" s="98"/>
      <c r="AI439" s="98"/>
      <c r="AJ439" s="98"/>
      <c r="AK439" s="98"/>
      <c r="AL439" s="98"/>
      <c r="AM439" s="98"/>
      <c r="AN439" s="98"/>
      <c r="AO439" s="98"/>
      <c r="AP439" s="98"/>
      <c r="AQ439" s="98"/>
      <c r="AR439" s="98"/>
    </row>
    <row r="440" ht="19.5" customHeight="1">
      <c r="A440" s="79">
        <v>429.0</v>
      </c>
      <c r="B440" s="91" t="s">
        <v>32</v>
      </c>
      <c r="C440" s="91" t="s">
        <v>3067</v>
      </c>
      <c r="D440" s="91" t="s">
        <v>3084</v>
      </c>
      <c r="E440" s="92" t="s">
        <v>3085</v>
      </c>
      <c r="F440" s="91" t="s">
        <v>687</v>
      </c>
      <c r="G440" s="80" t="s">
        <v>44</v>
      </c>
      <c r="H440" s="80" t="s">
        <v>21</v>
      </c>
      <c r="I440" s="91" t="s">
        <v>3070</v>
      </c>
      <c r="J440" s="80" t="s">
        <v>43</v>
      </c>
      <c r="K440" s="91" t="s">
        <v>3067</v>
      </c>
      <c r="L440" s="82" t="s">
        <v>3086</v>
      </c>
      <c r="M440" s="83">
        <f t="shared" si="1"/>
        <v>50</v>
      </c>
      <c r="N440" s="84">
        <v>50.0</v>
      </c>
      <c r="O440" s="84"/>
      <c r="P440" s="84"/>
      <c r="Q440" s="94">
        <v>3910.25</v>
      </c>
      <c r="R440" s="94">
        <v>732.16</v>
      </c>
      <c r="S440" s="95" t="s">
        <v>314</v>
      </c>
      <c r="T440" s="94">
        <v>1.0</v>
      </c>
      <c r="U440" s="96">
        <v>40913.0</v>
      </c>
      <c r="V440" s="97" t="s">
        <v>3087</v>
      </c>
      <c r="W440" s="97" t="s">
        <v>3088</v>
      </c>
      <c r="X440" s="79" t="s">
        <v>3074</v>
      </c>
      <c r="Y440" s="98"/>
      <c r="Z440" s="98"/>
      <c r="AA440" s="98"/>
      <c r="AB440" s="98"/>
      <c r="AC440" s="98"/>
      <c r="AD440" s="98"/>
      <c r="AE440" s="98"/>
      <c r="AF440" s="98"/>
      <c r="AG440" s="98"/>
      <c r="AH440" s="98"/>
      <c r="AI440" s="98"/>
      <c r="AJ440" s="98"/>
      <c r="AK440" s="98"/>
      <c r="AL440" s="98"/>
      <c r="AM440" s="98"/>
      <c r="AN440" s="98"/>
      <c r="AO440" s="98"/>
      <c r="AP440" s="98"/>
      <c r="AQ440" s="98"/>
      <c r="AR440" s="98"/>
    </row>
    <row r="441" ht="19.5" customHeight="1">
      <c r="A441" s="79">
        <v>430.0</v>
      </c>
      <c r="B441" s="95" t="s">
        <v>32</v>
      </c>
      <c r="C441" s="95" t="s">
        <v>3067</v>
      </c>
      <c r="D441" s="95" t="s">
        <v>1585</v>
      </c>
      <c r="E441" s="100" t="s">
        <v>3089</v>
      </c>
      <c r="F441" s="95" t="s">
        <v>22</v>
      </c>
      <c r="G441" s="80" t="s">
        <v>46</v>
      </c>
      <c r="H441" s="80" t="s">
        <v>22</v>
      </c>
      <c r="I441" s="95" t="s">
        <v>2365</v>
      </c>
      <c r="J441" s="80" t="s">
        <v>43</v>
      </c>
      <c r="K441" s="95" t="s">
        <v>3089</v>
      </c>
      <c r="L441" s="82" t="s">
        <v>3090</v>
      </c>
      <c r="M441" s="83">
        <f t="shared" si="1"/>
        <v>840</v>
      </c>
      <c r="N441" s="84"/>
      <c r="O441" s="84">
        <v>620.0</v>
      </c>
      <c r="P441" s="84">
        <v>220.0</v>
      </c>
      <c r="Q441" s="94">
        <v>31291.0</v>
      </c>
      <c r="R441" s="94">
        <v>6727.0</v>
      </c>
      <c r="S441" s="95" t="s">
        <v>3091</v>
      </c>
      <c r="T441" s="94">
        <v>62.0</v>
      </c>
      <c r="U441" s="96">
        <v>39126.0</v>
      </c>
      <c r="V441" s="97" t="s">
        <v>3092</v>
      </c>
      <c r="W441" s="97" t="s">
        <v>3093</v>
      </c>
      <c r="X441" s="79" t="s">
        <v>3094</v>
      </c>
      <c r="Y441" s="98"/>
      <c r="Z441" s="98"/>
      <c r="AA441" s="98"/>
      <c r="AB441" s="98"/>
      <c r="AC441" s="98"/>
      <c r="AD441" s="98"/>
      <c r="AE441" s="98"/>
      <c r="AF441" s="98"/>
      <c r="AG441" s="98"/>
      <c r="AH441" s="98"/>
      <c r="AI441" s="98"/>
      <c r="AJ441" s="98"/>
      <c r="AK441" s="98"/>
      <c r="AL441" s="98"/>
      <c r="AM441" s="98"/>
      <c r="AN441" s="98"/>
      <c r="AO441" s="98"/>
      <c r="AP441" s="98"/>
      <c r="AQ441" s="98"/>
      <c r="AR441" s="98"/>
    </row>
    <row r="442" ht="19.5" customHeight="1">
      <c r="A442" s="79">
        <v>431.0</v>
      </c>
      <c r="B442" s="91" t="s">
        <v>32</v>
      </c>
      <c r="C442" s="91" t="s">
        <v>3067</v>
      </c>
      <c r="D442" s="91" t="s">
        <v>1585</v>
      </c>
      <c r="E442" s="92" t="s">
        <v>3095</v>
      </c>
      <c r="F442" s="91" t="s">
        <v>22</v>
      </c>
      <c r="G442" s="80" t="s">
        <v>46</v>
      </c>
      <c r="H442" s="80" t="s">
        <v>22</v>
      </c>
      <c r="I442" s="91" t="s">
        <v>3096</v>
      </c>
      <c r="J442" s="80" t="s">
        <v>43</v>
      </c>
      <c r="K442" s="91" t="s">
        <v>3097</v>
      </c>
      <c r="L442" s="82" t="s">
        <v>3098</v>
      </c>
      <c r="M442" s="83">
        <f t="shared" si="1"/>
        <v>400</v>
      </c>
      <c r="N442" s="84"/>
      <c r="O442" s="84">
        <v>400.0</v>
      </c>
      <c r="P442" s="84"/>
      <c r="Q442" s="94">
        <v>20345.0</v>
      </c>
      <c r="R442" s="94">
        <v>6112.0</v>
      </c>
      <c r="S442" s="95" t="s">
        <v>3099</v>
      </c>
      <c r="T442" s="94">
        <v>2.0</v>
      </c>
      <c r="U442" s="96">
        <v>40675.0</v>
      </c>
      <c r="V442" s="97" t="s">
        <v>3100</v>
      </c>
      <c r="W442" s="97" t="s">
        <v>3101</v>
      </c>
      <c r="X442" s="79" t="s">
        <v>3102</v>
      </c>
      <c r="Y442" s="98"/>
      <c r="Z442" s="98"/>
      <c r="AA442" s="98"/>
      <c r="AB442" s="98"/>
      <c r="AC442" s="98"/>
      <c r="AD442" s="98"/>
      <c r="AE442" s="98"/>
      <c r="AF442" s="98"/>
      <c r="AG442" s="98"/>
      <c r="AH442" s="98"/>
      <c r="AI442" s="98"/>
      <c r="AJ442" s="98"/>
      <c r="AK442" s="98"/>
      <c r="AL442" s="98"/>
      <c r="AM442" s="98"/>
      <c r="AN442" s="98"/>
      <c r="AO442" s="98"/>
      <c r="AP442" s="98"/>
      <c r="AQ442" s="98"/>
      <c r="AR442" s="98"/>
    </row>
    <row r="443" ht="19.5" customHeight="1">
      <c r="A443" s="79">
        <v>432.0</v>
      </c>
      <c r="B443" s="91" t="s">
        <v>32</v>
      </c>
      <c r="C443" s="91" t="s">
        <v>3103</v>
      </c>
      <c r="D443" s="91" t="s">
        <v>3104</v>
      </c>
      <c r="E443" s="92" t="s">
        <v>3105</v>
      </c>
      <c r="F443" s="91" t="s">
        <v>687</v>
      </c>
      <c r="G443" s="80" t="s">
        <v>44</v>
      </c>
      <c r="H443" s="80" t="s">
        <v>21</v>
      </c>
      <c r="I443" s="91" t="s">
        <v>3106</v>
      </c>
      <c r="J443" s="80" t="s">
        <v>45</v>
      </c>
      <c r="K443" s="91" t="s">
        <v>119</v>
      </c>
      <c r="L443" s="82" t="s">
        <v>3107</v>
      </c>
      <c r="M443" s="83">
        <f t="shared" si="1"/>
        <v>150</v>
      </c>
      <c r="N443" s="84">
        <v>150.0</v>
      </c>
      <c r="O443" s="84"/>
      <c r="P443" s="84"/>
      <c r="Q443" s="94">
        <v>3418.0</v>
      </c>
      <c r="R443" s="94">
        <v>1841.0</v>
      </c>
      <c r="S443" s="95" t="s">
        <v>2849</v>
      </c>
      <c r="T443" s="94">
        <v>1.0</v>
      </c>
      <c r="U443" s="96">
        <v>39878.0</v>
      </c>
      <c r="V443" s="97" t="s">
        <v>3108</v>
      </c>
      <c r="W443" s="97" t="s">
        <v>3109</v>
      </c>
      <c r="X443" s="79" t="s">
        <v>3110</v>
      </c>
      <c r="Y443" s="98"/>
      <c r="Z443" s="98"/>
      <c r="AA443" s="98"/>
      <c r="AB443" s="98"/>
      <c r="AC443" s="98"/>
      <c r="AD443" s="98"/>
      <c r="AE443" s="98"/>
      <c r="AF443" s="98"/>
      <c r="AG443" s="98"/>
      <c r="AH443" s="98"/>
      <c r="AI443" s="98"/>
      <c r="AJ443" s="98"/>
      <c r="AK443" s="98"/>
      <c r="AL443" s="98"/>
      <c r="AM443" s="98"/>
      <c r="AN443" s="98"/>
      <c r="AO443" s="98"/>
      <c r="AP443" s="98"/>
      <c r="AQ443" s="98"/>
      <c r="AR443" s="98"/>
    </row>
    <row r="444" ht="19.5" customHeight="1">
      <c r="A444" s="79">
        <v>433.0</v>
      </c>
      <c r="B444" s="95" t="s">
        <v>32</v>
      </c>
      <c r="C444" s="95" t="s">
        <v>3103</v>
      </c>
      <c r="D444" s="95" t="s">
        <v>3111</v>
      </c>
      <c r="E444" s="100" t="s">
        <v>3112</v>
      </c>
      <c r="F444" s="95" t="s">
        <v>687</v>
      </c>
      <c r="G444" s="80" t="s">
        <v>44</v>
      </c>
      <c r="H444" s="80" t="s">
        <v>21</v>
      </c>
      <c r="I444" s="95" t="s">
        <v>3106</v>
      </c>
      <c r="J444" s="80" t="s">
        <v>45</v>
      </c>
      <c r="K444" s="91" t="s">
        <v>119</v>
      </c>
      <c r="L444" s="82" t="s">
        <v>3113</v>
      </c>
      <c r="M444" s="83">
        <f t="shared" si="1"/>
        <v>250</v>
      </c>
      <c r="N444" s="84">
        <v>250.0</v>
      </c>
      <c r="O444" s="84"/>
      <c r="P444" s="84"/>
      <c r="Q444" s="94">
        <v>4142.0</v>
      </c>
      <c r="R444" s="94">
        <v>6942.0</v>
      </c>
      <c r="S444" s="95" t="s">
        <v>2989</v>
      </c>
      <c r="T444" s="94">
        <v>1.0</v>
      </c>
      <c r="U444" s="96">
        <v>40910.0</v>
      </c>
      <c r="V444" s="97" t="s">
        <v>3114</v>
      </c>
      <c r="W444" s="97" t="s">
        <v>3115</v>
      </c>
      <c r="X444" s="79" t="s">
        <v>3116</v>
      </c>
      <c r="Y444" s="98"/>
      <c r="Z444" s="98"/>
      <c r="AA444" s="98"/>
      <c r="AB444" s="98"/>
      <c r="AC444" s="98"/>
      <c r="AD444" s="98"/>
      <c r="AE444" s="98"/>
      <c r="AF444" s="98"/>
      <c r="AG444" s="98"/>
      <c r="AH444" s="98"/>
      <c r="AI444" s="98"/>
      <c r="AJ444" s="98"/>
      <c r="AK444" s="98"/>
      <c r="AL444" s="98"/>
      <c r="AM444" s="98"/>
      <c r="AN444" s="98"/>
      <c r="AO444" s="98"/>
      <c r="AP444" s="98"/>
      <c r="AQ444" s="98"/>
      <c r="AR444" s="98"/>
    </row>
    <row r="445" ht="19.5" customHeight="1">
      <c r="A445" s="79">
        <v>434.0</v>
      </c>
      <c r="B445" s="95" t="s">
        <v>32</v>
      </c>
      <c r="C445" s="95" t="s">
        <v>3103</v>
      </c>
      <c r="D445" s="95" t="s">
        <v>3117</v>
      </c>
      <c r="E445" s="100" t="s">
        <v>3118</v>
      </c>
      <c r="F445" s="95" t="s">
        <v>687</v>
      </c>
      <c r="G445" s="80" t="s">
        <v>44</v>
      </c>
      <c r="H445" s="80" t="s">
        <v>21</v>
      </c>
      <c r="I445" s="95" t="s">
        <v>3106</v>
      </c>
      <c r="J445" s="80" t="s">
        <v>45</v>
      </c>
      <c r="K445" s="91" t="s">
        <v>3119</v>
      </c>
      <c r="L445" s="82" t="s">
        <v>3120</v>
      </c>
      <c r="M445" s="83">
        <f t="shared" si="1"/>
        <v>120</v>
      </c>
      <c r="N445" s="84">
        <v>120.0</v>
      </c>
      <c r="O445" s="84"/>
      <c r="P445" s="84"/>
      <c r="Q445" s="94">
        <v>1000.0</v>
      </c>
      <c r="R445" s="94">
        <v>563.0</v>
      </c>
      <c r="S445" s="95" t="s">
        <v>350</v>
      </c>
      <c r="T445" s="94">
        <v>1.0</v>
      </c>
      <c r="U445" s="96">
        <v>42739.0</v>
      </c>
      <c r="V445" s="97" t="s">
        <v>3121</v>
      </c>
      <c r="W445" s="97" t="s">
        <v>3122</v>
      </c>
      <c r="X445" s="79" t="s">
        <v>3123</v>
      </c>
      <c r="Y445" s="98"/>
      <c r="Z445" s="98"/>
      <c r="AA445" s="98"/>
      <c r="AB445" s="98"/>
      <c r="AC445" s="98"/>
      <c r="AD445" s="98"/>
      <c r="AE445" s="98"/>
      <c r="AF445" s="98"/>
      <c r="AG445" s="98"/>
      <c r="AH445" s="98"/>
      <c r="AI445" s="98"/>
      <c r="AJ445" s="98"/>
      <c r="AK445" s="98"/>
      <c r="AL445" s="98"/>
      <c r="AM445" s="98"/>
      <c r="AN445" s="98"/>
      <c r="AO445" s="98"/>
      <c r="AP445" s="98"/>
      <c r="AQ445" s="98"/>
      <c r="AR445" s="98"/>
    </row>
    <row r="446" ht="19.5" customHeight="1">
      <c r="A446" s="79">
        <v>435.0</v>
      </c>
      <c r="B446" s="91" t="s">
        <v>32</v>
      </c>
      <c r="C446" s="91" t="s">
        <v>3103</v>
      </c>
      <c r="D446" s="91" t="s">
        <v>3124</v>
      </c>
      <c r="E446" s="92" t="s">
        <v>3125</v>
      </c>
      <c r="F446" s="91" t="s">
        <v>687</v>
      </c>
      <c r="G446" s="80" t="s">
        <v>42</v>
      </c>
      <c r="H446" s="80" t="s">
        <v>21</v>
      </c>
      <c r="I446" s="91" t="s">
        <v>3106</v>
      </c>
      <c r="J446" s="80" t="s">
        <v>45</v>
      </c>
      <c r="K446" s="91" t="s">
        <v>3119</v>
      </c>
      <c r="L446" s="82" t="s">
        <v>3126</v>
      </c>
      <c r="M446" s="83">
        <f t="shared" si="1"/>
        <v>200</v>
      </c>
      <c r="N446" s="84">
        <v>200.0</v>
      </c>
      <c r="O446" s="84"/>
      <c r="P446" s="84"/>
      <c r="Q446" s="94">
        <v>2644.0</v>
      </c>
      <c r="R446" s="94">
        <v>2824.0</v>
      </c>
      <c r="S446" s="95" t="s">
        <v>3127</v>
      </c>
      <c r="T446" s="94">
        <v>1.0</v>
      </c>
      <c r="U446" s="96">
        <v>43825.0</v>
      </c>
      <c r="V446" s="97" t="s">
        <v>3128</v>
      </c>
      <c r="W446" s="97" t="s">
        <v>3129</v>
      </c>
      <c r="X446" s="79" t="s">
        <v>3130</v>
      </c>
      <c r="Y446" s="98"/>
      <c r="Z446" s="98"/>
      <c r="AA446" s="98"/>
      <c r="AB446" s="98"/>
      <c r="AC446" s="98"/>
      <c r="AD446" s="98"/>
      <c r="AE446" s="98"/>
      <c r="AF446" s="98"/>
      <c r="AG446" s="98"/>
      <c r="AH446" s="98"/>
      <c r="AI446" s="98"/>
      <c r="AJ446" s="98"/>
      <c r="AK446" s="98"/>
      <c r="AL446" s="98"/>
      <c r="AM446" s="98"/>
      <c r="AN446" s="98"/>
      <c r="AO446" s="98"/>
      <c r="AP446" s="98"/>
      <c r="AQ446" s="98"/>
      <c r="AR446" s="98"/>
    </row>
    <row r="447" ht="19.5" customHeight="1">
      <c r="A447" s="79">
        <v>436.0</v>
      </c>
      <c r="B447" s="91" t="s">
        <v>32</v>
      </c>
      <c r="C447" s="91" t="s">
        <v>3131</v>
      </c>
      <c r="D447" s="91" t="s">
        <v>3132</v>
      </c>
      <c r="E447" s="92" t="s">
        <v>3133</v>
      </c>
      <c r="F447" s="91" t="s">
        <v>687</v>
      </c>
      <c r="G447" s="80" t="s">
        <v>44</v>
      </c>
      <c r="H447" s="80" t="s">
        <v>21</v>
      </c>
      <c r="I447" s="91" t="s">
        <v>3134</v>
      </c>
      <c r="J447" s="80" t="s">
        <v>43</v>
      </c>
      <c r="K447" s="91" t="s">
        <v>3134</v>
      </c>
      <c r="L447" s="82" t="s">
        <v>3135</v>
      </c>
      <c r="M447" s="83">
        <f t="shared" si="1"/>
        <v>120</v>
      </c>
      <c r="N447" s="84">
        <v>120.0</v>
      </c>
      <c r="O447" s="84"/>
      <c r="P447" s="84"/>
      <c r="Q447" s="94">
        <v>4317.0</v>
      </c>
      <c r="R447" s="94">
        <v>1486.19</v>
      </c>
      <c r="S447" s="95" t="s">
        <v>2880</v>
      </c>
      <c r="T447" s="94">
        <v>1.0</v>
      </c>
      <c r="U447" s="96">
        <v>39016.0</v>
      </c>
      <c r="V447" s="97" t="s">
        <v>3136</v>
      </c>
      <c r="W447" s="97" t="s">
        <v>3137</v>
      </c>
      <c r="X447" s="79" t="s">
        <v>3138</v>
      </c>
      <c r="Y447" s="98"/>
      <c r="Z447" s="98"/>
      <c r="AA447" s="98"/>
      <c r="AB447" s="98"/>
      <c r="AC447" s="98"/>
      <c r="AD447" s="98"/>
      <c r="AE447" s="98"/>
      <c r="AF447" s="98"/>
      <c r="AG447" s="98"/>
      <c r="AH447" s="98"/>
      <c r="AI447" s="98"/>
      <c r="AJ447" s="98"/>
      <c r="AK447" s="98"/>
      <c r="AL447" s="98"/>
      <c r="AM447" s="98"/>
      <c r="AN447" s="98"/>
      <c r="AO447" s="98"/>
      <c r="AP447" s="98"/>
      <c r="AQ447" s="98"/>
      <c r="AR447" s="98"/>
    </row>
    <row r="448" ht="19.5" customHeight="1">
      <c r="A448" s="79">
        <v>437.0</v>
      </c>
      <c r="B448" s="91" t="s">
        <v>32</v>
      </c>
      <c r="C448" s="91" t="s">
        <v>3131</v>
      </c>
      <c r="D448" s="91" t="s">
        <v>3139</v>
      </c>
      <c r="E448" s="92" t="s">
        <v>3140</v>
      </c>
      <c r="F448" s="91" t="s">
        <v>687</v>
      </c>
      <c r="G448" s="80" t="s">
        <v>42</v>
      </c>
      <c r="H448" s="80" t="s">
        <v>21</v>
      </c>
      <c r="I448" s="91" t="s">
        <v>3134</v>
      </c>
      <c r="J448" s="80" t="s">
        <v>43</v>
      </c>
      <c r="K448" s="91" t="s">
        <v>3134</v>
      </c>
      <c r="L448" s="82" t="s">
        <v>3141</v>
      </c>
      <c r="M448" s="83">
        <f t="shared" si="1"/>
        <v>512</v>
      </c>
      <c r="N448" s="84">
        <v>512.0</v>
      </c>
      <c r="O448" s="84"/>
      <c r="P448" s="84"/>
      <c r="Q448" s="94">
        <v>29949.0</v>
      </c>
      <c r="R448" s="94">
        <v>7194.0</v>
      </c>
      <c r="S448" s="95" t="s">
        <v>2989</v>
      </c>
      <c r="T448" s="94">
        <v>1.0</v>
      </c>
      <c r="U448" s="96">
        <v>39244.0</v>
      </c>
      <c r="V448" s="97" t="s">
        <v>3142</v>
      </c>
      <c r="W448" s="97" t="s">
        <v>3143</v>
      </c>
      <c r="X448" s="79" t="s">
        <v>3144</v>
      </c>
      <c r="Y448" s="98"/>
      <c r="Z448" s="98"/>
      <c r="AA448" s="98"/>
      <c r="AB448" s="98"/>
      <c r="AC448" s="98"/>
      <c r="AD448" s="98"/>
      <c r="AE448" s="98"/>
      <c r="AF448" s="98"/>
      <c r="AG448" s="98"/>
      <c r="AH448" s="98"/>
      <c r="AI448" s="98"/>
      <c r="AJ448" s="98"/>
      <c r="AK448" s="98"/>
      <c r="AL448" s="98"/>
      <c r="AM448" s="98"/>
      <c r="AN448" s="98"/>
      <c r="AO448" s="98"/>
      <c r="AP448" s="98"/>
      <c r="AQ448" s="98"/>
      <c r="AR448" s="98"/>
    </row>
    <row r="449" ht="19.5" customHeight="1">
      <c r="A449" s="79">
        <v>438.0</v>
      </c>
      <c r="B449" s="95" t="s">
        <v>32</v>
      </c>
      <c r="C449" s="95" t="s">
        <v>3131</v>
      </c>
      <c r="D449" s="95" t="s">
        <v>3132</v>
      </c>
      <c r="E449" s="100" t="s">
        <v>3145</v>
      </c>
      <c r="F449" s="95" t="s">
        <v>687</v>
      </c>
      <c r="G449" s="80" t="s">
        <v>46</v>
      </c>
      <c r="H449" s="80" t="s">
        <v>21</v>
      </c>
      <c r="I449" s="95" t="s">
        <v>3134</v>
      </c>
      <c r="J449" s="80" t="s">
        <v>43</v>
      </c>
      <c r="K449" s="91" t="s">
        <v>3134</v>
      </c>
      <c r="L449" s="82" t="s">
        <v>3146</v>
      </c>
      <c r="M449" s="83">
        <f t="shared" si="1"/>
        <v>240</v>
      </c>
      <c r="N449" s="84"/>
      <c r="O449" s="84">
        <v>240.0</v>
      </c>
      <c r="P449" s="84"/>
      <c r="Q449" s="94">
        <v>36482.0</v>
      </c>
      <c r="R449" s="94">
        <v>3278.0</v>
      </c>
      <c r="S449" s="95" t="s">
        <v>3147</v>
      </c>
      <c r="T449" s="94">
        <v>4.0</v>
      </c>
      <c r="U449" s="96">
        <v>40898.0</v>
      </c>
      <c r="V449" s="97" t="s">
        <v>3148</v>
      </c>
      <c r="W449" s="97" t="s">
        <v>3149</v>
      </c>
      <c r="X449" s="79" t="s">
        <v>3150</v>
      </c>
      <c r="Y449" s="98"/>
      <c r="Z449" s="98"/>
      <c r="AA449" s="98"/>
      <c r="AB449" s="98"/>
      <c r="AC449" s="98"/>
      <c r="AD449" s="98"/>
      <c r="AE449" s="98"/>
      <c r="AF449" s="98"/>
      <c r="AG449" s="98"/>
      <c r="AH449" s="98"/>
      <c r="AI449" s="98"/>
      <c r="AJ449" s="98"/>
      <c r="AK449" s="98"/>
      <c r="AL449" s="98"/>
      <c r="AM449" s="98"/>
      <c r="AN449" s="98"/>
      <c r="AO449" s="98"/>
      <c r="AP449" s="98"/>
      <c r="AQ449" s="98"/>
      <c r="AR449" s="98"/>
    </row>
    <row r="450" ht="19.5" customHeight="1">
      <c r="A450" s="79">
        <v>439.0</v>
      </c>
      <c r="B450" s="91" t="s">
        <v>32</v>
      </c>
      <c r="C450" s="91" t="s">
        <v>3151</v>
      </c>
      <c r="D450" s="91" t="s">
        <v>3152</v>
      </c>
      <c r="E450" s="100" t="s">
        <v>3153</v>
      </c>
      <c r="F450" s="91" t="s">
        <v>1807</v>
      </c>
      <c r="G450" s="80" t="s">
        <v>46</v>
      </c>
      <c r="H450" s="80" t="s">
        <v>21</v>
      </c>
      <c r="I450" s="91" t="s">
        <v>2884</v>
      </c>
      <c r="J450" s="80" t="s">
        <v>45</v>
      </c>
      <c r="K450" s="91" t="s">
        <v>3154</v>
      </c>
      <c r="L450" s="82" t="s">
        <v>3155</v>
      </c>
      <c r="M450" s="83">
        <f t="shared" si="1"/>
        <v>232</v>
      </c>
      <c r="N450" s="84"/>
      <c r="O450" s="84">
        <v>232.0</v>
      </c>
      <c r="P450" s="84"/>
      <c r="Q450" s="94">
        <v>8264.0</v>
      </c>
      <c r="R450" s="94">
        <v>6706.49</v>
      </c>
      <c r="S450" s="95" t="s">
        <v>103</v>
      </c>
      <c r="T450" s="94">
        <v>2.0</v>
      </c>
      <c r="U450" s="96">
        <v>35210.0</v>
      </c>
      <c r="V450" s="97" t="s">
        <v>3156</v>
      </c>
      <c r="W450" s="97" t="s">
        <v>3157</v>
      </c>
      <c r="X450" s="79" t="s">
        <v>3158</v>
      </c>
      <c r="Y450" s="130"/>
      <c r="Z450" s="130"/>
      <c r="AA450" s="130"/>
      <c r="AB450" s="130"/>
      <c r="AC450" s="130"/>
      <c r="AD450" s="130"/>
      <c r="AE450" s="130"/>
      <c r="AF450" s="130"/>
      <c r="AG450" s="130"/>
      <c r="AH450" s="130"/>
      <c r="AI450" s="130"/>
      <c r="AJ450" s="130"/>
      <c r="AK450" s="130"/>
      <c r="AL450" s="130"/>
      <c r="AM450" s="130"/>
      <c r="AN450" s="130"/>
      <c r="AO450" s="130"/>
      <c r="AP450" s="130"/>
      <c r="AQ450" s="130"/>
      <c r="AR450" s="130"/>
    </row>
    <row r="451" ht="19.5" customHeight="1">
      <c r="A451" s="79">
        <v>440.0</v>
      </c>
      <c r="B451" s="95" t="s">
        <v>32</v>
      </c>
      <c r="C451" s="95" t="s">
        <v>3151</v>
      </c>
      <c r="D451" s="95" t="s">
        <v>3159</v>
      </c>
      <c r="E451" s="100" t="s">
        <v>3160</v>
      </c>
      <c r="F451" s="95" t="s">
        <v>81</v>
      </c>
      <c r="G451" s="80" t="s">
        <v>44</v>
      </c>
      <c r="H451" s="80" t="s">
        <v>21</v>
      </c>
      <c r="I451" s="95" t="s">
        <v>3161</v>
      </c>
      <c r="J451" s="80" t="s">
        <v>45</v>
      </c>
      <c r="K451" s="95" t="s">
        <v>3162</v>
      </c>
      <c r="L451" s="82" t="s">
        <v>3163</v>
      </c>
      <c r="M451" s="83">
        <f t="shared" si="1"/>
        <v>100</v>
      </c>
      <c r="N451" s="84">
        <v>100.0</v>
      </c>
      <c r="O451" s="84"/>
      <c r="P451" s="84"/>
      <c r="Q451" s="94">
        <v>1817.0</v>
      </c>
      <c r="R451" s="94">
        <v>375.0</v>
      </c>
      <c r="S451" s="95" t="s">
        <v>314</v>
      </c>
      <c r="T451" s="94">
        <v>1.0</v>
      </c>
      <c r="U451" s="96">
        <v>36998.0</v>
      </c>
      <c r="V451" s="97" t="s">
        <v>3164</v>
      </c>
      <c r="W451" s="97" t="s">
        <v>3165</v>
      </c>
      <c r="X451" s="79" t="s">
        <v>3166</v>
      </c>
      <c r="Y451" s="98"/>
      <c r="Z451" s="98"/>
      <c r="AA451" s="98"/>
      <c r="AB451" s="98"/>
      <c r="AC451" s="98"/>
      <c r="AD451" s="98"/>
      <c r="AE451" s="98"/>
      <c r="AF451" s="98"/>
      <c r="AG451" s="98"/>
      <c r="AH451" s="98"/>
      <c r="AI451" s="98"/>
      <c r="AJ451" s="98"/>
      <c r="AK451" s="98"/>
      <c r="AL451" s="98"/>
      <c r="AM451" s="98"/>
      <c r="AN451" s="98"/>
      <c r="AO451" s="98"/>
      <c r="AP451" s="98"/>
      <c r="AQ451" s="98"/>
      <c r="AR451" s="98"/>
    </row>
    <row r="452" ht="19.5" customHeight="1">
      <c r="A452" s="79">
        <v>441.0</v>
      </c>
      <c r="B452" s="91" t="s">
        <v>32</v>
      </c>
      <c r="C452" s="91" t="s">
        <v>3151</v>
      </c>
      <c r="D452" s="91" t="s">
        <v>3167</v>
      </c>
      <c r="E452" s="92" t="s">
        <v>3168</v>
      </c>
      <c r="F452" s="91" t="s">
        <v>81</v>
      </c>
      <c r="G452" s="80" t="s">
        <v>42</v>
      </c>
      <c r="H452" s="80" t="s">
        <v>21</v>
      </c>
      <c r="I452" s="91" t="s">
        <v>3161</v>
      </c>
      <c r="J452" s="80" t="s">
        <v>45</v>
      </c>
      <c r="K452" s="91" t="s">
        <v>3169</v>
      </c>
      <c r="L452" s="82" t="s">
        <v>3170</v>
      </c>
      <c r="M452" s="83">
        <f t="shared" si="1"/>
        <v>490</v>
      </c>
      <c r="N452" s="84">
        <v>490.0</v>
      </c>
      <c r="O452" s="84"/>
      <c r="P452" s="84"/>
      <c r="Q452" s="94">
        <v>5741.0</v>
      </c>
      <c r="R452" s="94">
        <v>2522.0</v>
      </c>
      <c r="S452" s="95" t="s">
        <v>291</v>
      </c>
      <c r="T452" s="94">
        <v>1.0</v>
      </c>
      <c r="U452" s="96">
        <v>40094.0</v>
      </c>
      <c r="V452" s="97" t="s">
        <v>3171</v>
      </c>
      <c r="W452" s="97" t="s">
        <v>3172</v>
      </c>
      <c r="X452" s="79" t="s">
        <v>3166</v>
      </c>
      <c r="Y452" s="98"/>
      <c r="Z452" s="98"/>
      <c r="AA452" s="98"/>
      <c r="AB452" s="98"/>
      <c r="AC452" s="98"/>
      <c r="AD452" s="98"/>
      <c r="AE452" s="98"/>
      <c r="AF452" s="98"/>
      <c r="AG452" s="98"/>
      <c r="AH452" s="98"/>
      <c r="AI452" s="98"/>
      <c r="AJ452" s="98"/>
      <c r="AK452" s="98"/>
      <c r="AL452" s="98"/>
      <c r="AM452" s="98"/>
      <c r="AN452" s="98"/>
      <c r="AO452" s="98"/>
      <c r="AP452" s="98"/>
      <c r="AQ452" s="98"/>
      <c r="AR452" s="98"/>
    </row>
    <row r="453" ht="19.5" customHeight="1">
      <c r="A453" s="79">
        <v>442.0</v>
      </c>
      <c r="B453" s="91" t="s">
        <v>32</v>
      </c>
      <c r="C453" s="91" t="s">
        <v>3151</v>
      </c>
      <c r="D453" s="91" t="s">
        <v>3173</v>
      </c>
      <c r="E453" s="92" t="s">
        <v>3174</v>
      </c>
      <c r="F453" s="91" t="s">
        <v>22</v>
      </c>
      <c r="G453" s="80" t="s">
        <v>12</v>
      </c>
      <c r="H453" s="80" t="s">
        <v>22</v>
      </c>
      <c r="I453" s="91" t="s">
        <v>3175</v>
      </c>
      <c r="J453" s="80" t="s">
        <v>43</v>
      </c>
      <c r="K453" s="91" t="s">
        <v>3176</v>
      </c>
      <c r="L453" s="82" t="s">
        <v>3177</v>
      </c>
      <c r="M453" s="83">
        <f t="shared" si="1"/>
        <v>174</v>
      </c>
      <c r="N453" s="84"/>
      <c r="O453" s="84">
        <v>144.0</v>
      </c>
      <c r="P453" s="84">
        <v>30.0</v>
      </c>
      <c r="Q453" s="94">
        <v>23230.0</v>
      </c>
      <c r="R453" s="94">
        <v>1799.0</v>
      </c>
      <c r="S453" s="95" t="s">
        <v>103</v>
      </c>
      <c r="T453" s="94">
        <v>4.0</v>
      </c>
      <c r="U453" s="96">
        <v>40485.0</v>
      </c>
      <c r="V453" s="97" t="s">
        <v>3178</v>
      </c>
      <c r="W453" s="97" t="s">
        <v>3179</v>
      </c>
      <c r="X453" s="79" t="s">
        <v>3180</v>
      </c>
      <c r="Y453" s="98"/>
      <c r="Z453" s="98"/>
      <c r="AA453" s="98"/>
      <c r="AB453" s="98"/>
      <c r="AC453" s="98"/>
      <c r="AD453" s="98"/>
      <c r="AE453" s="98"/>
      <c r="AF453" s="98"/>
      <c r="AG453" s="98"/>
      <c r="AH453" s="98"/>
      <c r="AI453" s="98"/>
      <c r="AJ453" s="98"/>
      <c r="AK453" s="98"/>
      <c r="AL453" s="98"/>
      <c r="AM453" s="98"/>
      <c r="AN453" s="98"/>
      <c r="AO453" s="98"/>
      <c r="AP453" s="98"/>
      <c r="AQ453" s="98"/>
      <c r="AR453" s="98"/>
    </row>
    <row r="454" ht="19.5" customHeight="1">
      <c r="A454" s="79">
        <v>443.0</v>
      </c>
      <c r="B454" s="91" t="s">
        <v>32</v>
      </c>
      <c r="C454" s="91" t="s">
        <v>3151</v>
      </c>
      <c r="D454" s="91" t="s">
        <v>3173</v>
      </c>
      <c r="E454" s="92" t="s">
        <v>3181</v>
      </c>
      <c r="F454" s="91" t="s">
        <v>22</v>
      </c>
      <c r="G454" s="80" t="s">
        <v>12</v>
      </c>
      <c r="H454" s="80" t="s">
        <v>22</v>
      </c>
      <c r="I454" s="91" t="s">
        <v>3182</v>
      </c>
      <c r="J454" s="80" t="s">
        <v>43</v>
      </c>
      <c r="K454" s="91" t="s">
        <v>3183</v>
      </c>
      <c r="L454" s="82" t="s">
        <v>3184</v>
      </c>
      <c r="M454" s="83">
        <f t="shared" si="1"/>
        <v>232</v>
      </c>
      <c r="N454" s="84"/>
      <c r="O454" s="84">
        <v>232.0</v>
      </c>
      <c r="P454" s="84"/>
      <c r="Q454" s="94">
        <v>6610.0</v>
      </c>
      <c r="R454" s="94">
        <v>2567.0</v>
      </c>
      <c r="S454" s="95" t="s">
        <v>194</v>
      </c>
      <c r="T454" s="94">
        <v>1.0</v>
      </c>
      <c r="U454" s="96">
        <v>36866.0</v>
      </c>
      <c r="V454" s="97" t="s">
        <v>3185</v>
      </c>
      <c r="W454" s="97" t="s">
        <v>3186</v>
      </c>
      <c r="X454" s="79"/>
      <c r="Y454" s="98"/>
      <c r="Z454" s="98"/>
      <c r="AA454" s="98"/>
      <c r="AB454" s="98"/>
      <c r="AC454" s="98"/>
      <c r="AD454" s="98"/>
      <c r="AE454" s="98"/>
      <c r="AF454" s="98"/>
      <c r="AG454" s="98"/>
      <c r="AH454" s="98"/>
      <c r="AI454" s="98"/>
      <c r="AJ454" s="98"/>
      <c r="AK454" s="98"/>
      <c r="AL454" s="98"/>
      <c r="AM454" s="98"/>
      <c r="AN454" s="98"/>
      <c r="AO454" s="98"/>
      <c r="AP454" s="98"/>
      <c r="AQ454" s="98"/>
      <c r="AR454" s="98"/>
    </row>
    <row r="455" ht="19.5" customHeight="1">
      <c r="A455" s="79">
        <v>444.0</v>
      </c>
      <c r="B455" s="91" t="s">
        <v>32</v>
      </c>
      <c r="C455" s="91" t="s">
        <v>3187</v>
      </c>
      <c r="D455" s="91" t="s">
        <v>3188</v>
      </c>
      <c r="E455" s="92" t="s">
        <v>3189</v>
      </c>
      <c r="F455" s="91" t="s">
        <v>81</v>
      </c>
      <c r="G455" s="80" t="s">
        <v>44</v>
      </c>
      <c r="H455" s="80" t="s">
        <v>21</v>
      </c>
      <c r="I455" s="91" t="s">
        <v>3190</v>
      </c>
      <c r="J455" s="80" t="s">
        <v>47</v>
      </c>
      <c r="K455" s="91" t="s">
        <v>3191</v>
      </c>
      <c r="L455" s="82" t="s">
        <v>3192</v>
      </c>
      <c r="M455" s="83">
        <f t="shared" si="1"/>
        <v>200</v>
      </c>
      <c r="N455" s="84">
        <v>200.0</v>
      </c>
      <c r="O455" s="84"/>
      <c r="P455" s="84"/>
      <c r="Q455" s="94">
        <v>1342.0</v>
      </c>
      <c r="R455" s="94">
        <v>1081.0</v>
      </c>
      <c r="S455" s="95" t="s">
        <v>2849</v>
      </c>
      <c r="T455" s="94">
        <v>1.0</v>
      </c>
      <c r="U455" s="96">
        <v>37211.0</v>
      </c>
      <c r="V455" s="97" t="s">
        <v>3193</v>
      </c>
      <c r="W455" s="97" t="s">
        <v>3194</v>
      </c>
      <c r="X455" s="79" t="s">
        <v>3195</v>
      </c>
      <c r="Y455" s="98"/>
      <c r="Z455" s="98"/>
      <c r="AA455" s="98"/>
      <c r="AB455" s="98"/>
      <c r="AC455" s="98"/>
      <c r="AD455" s="98"/>
      <c r="AE455" s="98"/>
      <c r="AF455" s="98"/>
      <c r="AG455" s="98"/>
      <c r="AH455" s="98"/>
      <c r="AI455" s="98"/>
      <c r="AJ455" s="98"/>
      <c r="AK455" s="98"/>
      <c r="AL455" s="98"/>
      <c r="AM455" s="98"/>
      <c r="AN455" s="98"/>
      <c r="AO455" s="98"/>
      <c r="AP455" s="98"/>
      <c r="AQ455" s="98"/>
      <c r="AR455" s="98"/>
    </row>
    <row r="456" ht="19.5" customHeight="1">
      <c r="A456" s="79">
        <v>445.0</v>
      </c>
      <c r="B456" s="91" t="s">
        <v>32</v>
      </c>
      <c r="C456" s="91" t="s">
        <v>3187</v>
      </c>
      <c r="D456" s="91" t="s">
        <v>3196</v>
      </c>
      <c r="E456" s="92" t="s">
        <v>3197</v>
      </c>
      <c r="F456" s="91" t="s">
        <v>81</v>
      </c>
      <c r="G456" s="80" t="s">
        <v>44</v>
      </c>
      <c r="H456" s="80" t="s">
        <v>21</v>
      </c>
      <c r="I456" s="91" t="s">
        <v>3190</v>
      </c>
      <c r="J456" s="80" t="s">
        <v>47</v>
      </c>
      <c r="K456" s="91" t="s">
        <v>3191</v>
      </c>
      <c r="L456" s="82" t="s">
        <v>3198</v>
      </c>
      <c r="M456" s="83">
        <f t="shared" si="1"/>
        <v>150</v>
      </c>
      <c r="N456" s="84">
        <v>150.0</v>
      </c>
      <c r="O456" s="84"/>
      <c r="P456" s="84"/>
      <c r="Q456" s="94">
        <v>1242.0</v>
      </c>
      <c r="R456" s="94">
        <v>761.0</v>
      </c>
      <c r="S456" s="95" t="s">
        <v>350</v>
      </c>
      <c r="T456" s="94">
        <v>1.0</v>
      </c>
      <c r="U456" s="96">
        <v>40318.0</v>
      </c>
      <c r="V456" s="97" t="s">
        <v>3199</v>
      </c>
      <c r="W456" s="97" t="s">
        <v>3200</v>
      </c>
      <c r="X456" s="79" t="s">
        <v>3195</v>
      </c>
      <c r="Y456" s="98"/>
      <c r="Z456" s="98"/>
      <c r="AA456" s="98"/>
      <c r="AB456" s="98"/>
      <c r="AC456" s="98"/>
      <c r="AD456" s="98"/>
      <c r="AE456" s="98"/>
      <c r="AF456" s="98"/>
      <c r="AG456" s="98"/>
      <c r="AH456" s="98"/>
      <c r="AI456" s="98"/>
      <c r="AJ456" s="98"/>
      <c r="AK456" s="98"/>
      <c r="AL456" s="98"/>
      <c r="AM456" s="98"/>
      <c r="AN456" s="98"/>
      <c r="AO456" s="98"/>
      <c r="AP456" s="98"/>
      <c r="AQ456" s="98"/>
      <c r="AR456" s="98"/>
    </row>
    <row r="457" ht="19.5" customHeight="1">
      <c r="A457" s="79">
        <v>446.0</v>
      </c>
      <c r="B457" s="91" t="s">
        <v>32</v>
      </c>
      <c r="C457" s="91" t="s">
        <v>3187</v>
      </c>
      <c r="D457" s="91" t="s">
        <v>3201</v>
      </c>
      <c r="E457" s="92" t="s">
        <v>3202</v>
      </c>
      <c r="F457" s="91" t="s">
        <v>81</v>
      </c>
      <c r="G457" s="80" t="s">
        <v>42</v>
      </c>
      <c r="H457" s="80" t="s">
        <v>21</v>
      </c>
      <c r="I457" s="91" t="s">
        <v>3190</v>
      </c>
      <c r="J457" s="80" t="s">
        <v>47</v>
      </c>
      <c r="K457" s="91" t="s">
        <v>3191</v>
      </c>
      <c r="L457" s="82" t="s">
        <v>3203</v>
      </c>
      <c r="M457" s="83">
        <f t="shared" si="1"/>
        <v>490</v>
      </c>
      <c r="N457" s="84"/>
      <c r="O457" s="84">
        <v>490.0</v>
      </c>
      <c r="P457" s="84"/>
      <c r="Q457" s="94">
        <v>7169.0</v>
      </c>
      <c r="R457" s="94">
        <v>4216.0</v>
      </c>
      <c r="S457" s="95" t="s">
        <v>2849</v>
      </c>
      <c r="T457" s="94">
        <v>2.0</v>
      </c>
      <c r="U457" s="96">
        <v>38113.0</v>
      </c>
      <c r="V457" s="97" t="s">
        <v>3204</v>
      </c>
      <c r="W457" s="97" t="s">
        <v>3205</v>
      </c>
      <c r="X457" s="79" t="s">
        <v>3206</v>
      </c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  <c r="AQ457" s="88"/>
      <c r="AR457" s="88"/>
    </row>
    <row r="458" ht="19.5" customHeight="1">
      <c r="A458" s="79">
        <v>447.0</v>
      </c>
      <c r="B458" s="95" t="s">
        <v>32</v>
      </c>
      <c r="C458" s="95" t="s">
        <v>3187</v>
      </c>
      <c r="D458" s="95" t="s">
        <v>3207</v>
      </c>
      <c r="E458" s="100" t="s">
        <v>3208</v>
      </c>
      <c r="F458" s="95" t="s">
        <v>22</v>
      </c>
      <c r="G458" s="80" t="s">
        <v>12</v>
      </c>
      <c r="H458" s="80" t="s">
        <v>22</v>
      </c>
      <c r="I458" s="95" t="s">
        <v>3209</v>
      </c>
      <c r="J458" s="80" t="s">
        <v>43</v>
      </c>
      <c r="K458" s="95" t="s">
        <v>3209</v>
      </c>
      <c r="L458" s="82" t="s">
        <v>3210</v>
      </c>
      <c r="M458" s="83">
        <f t="shared" si="1"/>
        <v>664</v>
      </c>
      <c r="N458" s="84"/>
      <c r="O458" s="84">
        <v>664.0</v>
      </c>
      <c r="P458" s="84"/>
      <c r="Q458" s="94">
        <v>9165.0</v>
      </c>
      <c r="R458" s="94">
        <v>6462.0</v>
      </c>
      <c r="S458" s="95" t="s">
        <v>2429</v>
      </c>
      <c r="T458" s="94">
        <v>1.0</v>
      </c>
      <c r="U458" s="96">
        <v>39808.0</v>
      </c>
      <c r="V458" s="97" t="s">
        <v>3211</v>
      </c>
      <c r="W458" s="97" t="s">
        <v>3212</v>
      </c>
      <c r="X458" s="79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  <c r="AQ458" s="88"/>
      <c r="AR458" s="88"/>
    </row>
    <row r="459" ht="19.5" customHeight="1">
      <c r="A459" s="79">
        <v>448.0</v>
      </c>
      <c r="B459" s="95" t="s">
        <v>32</v>
      </c>
      <c r="C459" s="95" t="s">
        <v>3187</v>
      </c>
      <c r="D459" s="95" t="s">
        <v>3213</v>
      </c>
      <c r="E459" s="100" t="s">
        <v>3214</v>
      </c>
      <c r="F459" s="95" t="s">
        <v>81</v>
      </c>
      <c r="G459" s="80" t="s">
        <v>49</v>
      </c>
      <c r="H459" s="80" t="s">
        <v>21</v>
      </c>
      <c r="I459" s="95" t="s">
        <v>3190</v>
      </c>
      <c r="J459" s="80" t="s">
        <v>43</v>
      </c>
      <c r="K459" s="95" t="s">
        <v>3214</v>
      </c>
      <c r="L459" s="82" t="s">
        <v>3215</v>
      </c>
      <c r="M459" s="83">
        <f t="shared" si="1"/>
        <v>1300</v>
      </c>
      <c r="N459" s="84">
        <v>1000.0</v>
      </c>
      <c r="O459" s="84"/>
      <c r="P459" s="84">
        <v>300.0</v>
      </c>
      <c r="Q459" s="94">
        <v>325509.0</v>
      </c>
      <c r="R459" s="94">
        <v>16408.0</v>
      </c>
      <c r="S459" s="95" t="s">
        <v>380</v>
      </c>
      <c r="T459" s="94">
        <v>4.0</v>
      </c>
      <c r="U459" s="96">
        <v>41236.0</v>
      </c>
      <c r="V459" s="97" t="s">
        <v>3216</v>
      </c>
      <c r="W459" s="97" t="s">
        <v>3217</v>
      </c>
      <c r="X459" s="79" t="s">
        <v>3218</v>
      </c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  <c r="AQ459" s="88"/>
      <c r="AR459" s="88"/>
    </row>
    <row r="460" ht="19.5" customHeight="1">
      <c r="A460" s="79">
        <v>449.0</v>
      </c>
      <c r="B460" s="91" t="s">
        <v>32</v>
      </c>
      <c r="C460" s="91" t="s">
        <v>3219</v>
      </c>
      <c r="D460" s="91" t="s">
        <v>3220</v>
      </c>
      <c r="E460" s="92" t="s">
        <v>3221</v>
      </c>
      <c r="F460" s="91" t="s">
        <v>687</v>
      </c>
      <c r="G460" s="80" t="s">
        <v>44</v>
      </c>
      <c r="H460" s="80" t="s">
        <v>21</v>
      </c>
      <c r="I460" s="91" t="s">
        <v>3222</v>
      </c>
      <c r="J460" s="80" t="s">
        <v>43</v>
      </c>
      <c r="K460" s="91" t="s">
        <v>3219</v>
      </c>
      <c r="L460" s="82" t="s">
        <v>3223</v>
      </c>
      <c r="M460" s="83">
        <f t="shared" si="1"/>
        <v>50</v>
      </c>
      <c r="N460" s="84">
        <v>50.0</v>
      </c>
      <c r="O460" s="84"/>
      <c r="P460" s="84"/>
      <c r="Q460" s="94">
        <v>1815.0</v>
      </c>
      <c r="R460" s="94">
        <v>670.77</v>
      </c>
      <c r="S460" s="95" t="s">
        <v>350</v>
      </c>
      <c r="T460" s="94">
        <v>1.0</v>
      </c>
      <c r="U460" s="96">
        <v>41607.0</v>
      </c>
      <c r="V460" s="97" t="s">
        <v>3224</v>
      </c>
      <c r="W460" s="97" t="s">
        <v>3225</v>
      </c>
      <c r="X460" s="79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  <c r="AQ460" s="88"/>
      <c r="AR460" s="88"/>
    </row>
    <row r="461" ht="19.5" customHeight="1">
      <c r="A461" s="79">
        <v>450.0</v>
      </c>
      <c r="B461" s="91" t="s">
        <v>32</v>
      </c>
      <c r="C461" s="91" t="s">
        <v>3219</v>
      </c>
      <c r="D461" s="91" t="s">
        <v>3226</v>
      </c>
      <c r="E461" s="92" t="s">
        <v>3227</v>
      </c>
      <c r="F461" s="91" t="s">
        <v>687</v>
      </c>
      <c r="G461" s="80" t="s">
        <v>44</v>
      </c>
      <c r="H461" s="80" t="s">
        <v>21</v>
      </c>
      <c r="I461" s="91" t="s">
        <v>3222</v>
      </c>
      <c r="J461" s="80" t="s">
        <v>43</v>
      </c>
      <c r="K461" s="91" t="s">
        <v>3219</v>
      </c>
      <c r="L461" s="82" t="s">
        <v>3228</v>
      </c>
      <c r="M461" s="83">
        <f t="shared" si="1"/>
        <v>50</v>
      </c>
      <c r="N461" s="84">
        <v>50.0</v>
      </c>
      <c r="O461" s="84"/>
      <c r="P461" s="84"/>
      <c r="Q461" s="94">
        <v>4133.0</v>
      </c>
      <c r="R461" s="94">
        <v>824.38</v>
      </c>
      <c r="S461" s="95" t="s">
        <v>3229</v>
      </c>
      <c r="T461" s="94">
        <v>1.0</v>
      </c>
      <c r="U461" s="96">
        <v>40330.0</v>
      </c>
      <c r="V461" s="97" t="s">
        <v>3230</v>
      </c>
      <c r="W461" s="97" t="s">
        <v>3231</v>
      </c>
      <c r="X461" s="79"/>
      <c r="Y461" s="98"/>
      <c r="Z461" s="98"/>
      <c r="AA461" s="98"/>
      <c r="AB461" s="98"/>
      <c r="AC461" s="98"/>
      <c r="AD461" s="98"/>
      <c r="AE461" s="98"/>
      <c r="AF461" s="98"/>
      <c r="AG461" s="98"/>
      <c r="AH461" s="98"/>
      <c r="AI461" s="98"/>
      <c r="AJ461" s="98"/>
      <c r="AK461" s="98"/>
      <c r="AL461" s="98"/>
      <c r="AM461" s="98"/>
      <c r="AN461" s="98"/>
      <c r="AO461" s="98"/>
      <c r="AP461" s="98"/>
      <c r="AQ461" s="98"/>
      <c r="AR461" s="98"/>
    </row>
    <row r="462" ht="19.5" customHeight="1">
      <c r="A462" s="79">
        <v>451.0</v>
      </c>
      <c r="B462" s="91" t="s">
        <v>32</v>
      </c>
      <c r="C462" s="91" t="s">
        <v>3219</v>
      </c>
      <c r="D462" s="91" t="s">
        <v>3232</v>
      </c>
      <c r="E462" s="92" t="s">
        <v>3233</v>
      </c>
      <c r="F462" s="91" t="s">
        <v>801</v>
      </c>
      <c r="G462" s="80" t="s">
        <v>46</v>
      </c>
      <c r="H462" s="80" t="s">
        <v>21</v>
      </c>
      <c r="I462" s="91" t="s">
        <v>802</v>
      </c>
      <c r="J462" s="80" t="s">
        <v>45</v>
      </c>
      <c r="K462" s="91" t="s">
        <v>803</v>
      </c>
      <c r="L462" s="82" t="s">
        <v>3234</v>
      </c>
      <c r="M462" s="83">
        <f t="shared" si="1"/>
        <v>1191</v>
      </c>
      <c r="N462" s="84">
        <v>0.0</v>
      </c>
      <c r="O462" s="84">
        <v>491.0</v>
      </c>
      <c r="P462" s="84">
        <v>700.0</v>
      </c>
      <c r="Q462" s="94">
        <v>473777.0</v>
      </c>
      <c r="R462" s="94">
        <v>22347.0</v>
      </c>
      <c r="S462" s="95" t="s">
        <v>194</v>
      </c>
      <c r="T462" s="94">
        <v>44.0</v>
      </c>
      <c r="U462" s="96">
        <v>36113.0</v>
      </c>
      <c r="V462" s="97" t="s">
        <v>3235</v>
      </c>
      <c r="W462" s="97" t="s">
        <v>3236</v>
      </c>
      <c r="X462" s="79" t="s">
        <v>3237</v>
      </c>
      <c r="Y462" s="98"/>
      <c r="Z462" s="98"/>
      <c r="AA462" s="98"/>
      <c r="AB462" s="98"/>
      <c r="AC462" s="98"/>
      <c r="AD462" s="98"/>
      <c r="AE462" s="98"/>
      <c r="AF462" s="98"/>
      <c r="AG462" s="98"/>
      <c r="AH462" s="98"/>
      <c r="AI462" s="98"/>
      <c r="AJ462" s="98"/>
      <c r="AK462" s="98"/>
      <c r="AL462" s="98"/>
      <c r="AM462" s="98"/>
      <c r="AN462" s="98"/>
      <c r="AO462" s="98"/>
      <c r="AP462" s="98"/>
      <c r="AQ462" s="98"/>
      <c r="AR462" s="98"/>
    </row>
    <row r="463" ht="19.5" customHeight="1">
      <c r="A463" s="79">
        <v>452.0</v>
      </c>
      <c r="B463" s="91" t="s">
        <v>32</v>
      </c>
      <c r="C463" s="91" t="s">
        <v>3219</v>
      </c>
      <c r="D463" s="91" t="s">
        <v>3220</v>
      </c>
      <c r="E463" s="92" t="s">
        <v>3238</v>
      </c>
      <c r="F463" s="91" t="s">
        <v>22</v>
      </c>
      <c r="G463" s="80" t="s">
        <v>46</v>
      </c>
      <c r="H463" s="80" t="s">
        <v>22</v>
      </c>
      <c r="I463" s="91" t="s">
        <v>3238</v>
      </c>
      <c r="J463" s="80" t="s">
        <v>43</v>
      </c>
      <c r="K463" s="91" t="s">
        <v>3239</v>
      </c>
      <c r="L463" s="82" t="s">
        <v>3240</v>
      </c>
      <c r="M463" s="83">
        <f t="shared" si="1"/>
        <v>1696</v>
      </c>
      <c r="N463" s="84"/>
      <c r="O463" s="84">
        <v>1096.0</v>
      </c>
      <c r="P463" s="84">
        <v>600.0</v>
      </c>
      <c r="Q463" s="94">
        <v>139967.0</v>
      </c>
      <c r="R463" s="94">
        <v>7499.0</v>
      </c>
      <c r="S463" s="95" t="s">
        <v>103</v>
      </c>
      <c r="T463" s="94">
        <v>19.0</v>
      </c>
      <c r="U463" s="96">
        <v>35646.0</v>
      </c>
      <c r="V463" s="97" t="s">
        <v>3241</v>
      </c>
      <c r="W463" s="97" t="s">
        <v>3242</v>
      </c>
      <c r="X463" s="79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  <c r="AQ463" s="88"/>
      <c r="AR463" s="88"/>
    </row>
    <row r="464" ht="19.5" customHeight="1">
      <c r="A464" s="79">
        <v>453.0</v>
      </c>
      <c r="B464" s="91" t="s">
        <v>32</v>
      </c>
      <c r="C464" s="91" t="s">
        <v>3219</v>
      </c>
      <c r="D464" s="91" t="s">
        <v>3243</v>
      </c>
      <c r="E464" s="92" t="s">
        <v>3244</v>
      </c>
      <c r="F464" s="91" t="s">
        <v>22</v>
      </c>
      <c r="G464" s="80" t="s">
        <v>12</v>
      </c>
      <c r="H464" s="80" t="s">
        <v>22</v>
      </c>
      <c r="I464" s="91" t="s">
        <v>3245</v>
      </c>
      <c r="J464" s="80" t="s">
        <v>43</v>
      </c>
      <c r="K464" s="91" t="s">
        <v>3245</v>
      </c>
      <c r="L464" s="82" t="s">
        <v>3246</v>
      </c>
      <c r="M464" s="83">
        <f t="shared" si="1"/>
        <v>720</v>
      </c>
      <c r="N464" s="84"/>
      <c r="O464" s="84">
        <v>720.0</v>
      </c>
      <c r="P464" s="84"/>
      <c r="Q464" s="94">
        <v>8100.0</v>
      </c>
      <c r="R464" s="94">
        <v>8404.0</v>
      </c>
      <c r="S464" s="95" t="s">
        <v>194</v>
      </c>
      <c r="T464" s="94">
        <v>1.0</v>
      </c>
      <c r="U464" s="96">
        <v>37603.0</v>
      </c>
      <c r="V464" s="97" t="s">
        <v>3247</v>
      </c>
      <c r="W464" s="97" t="s">
        <v>3248</v>
      </c>
      <c r="X464" s="79" t="s">
        <v>3249</v>
      </c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  <c r="AQ464" s="88"/>
      <c r="AR464" s="88"/>
    </row>
    <row r="465" ht="19.5" customHeight="1">
      <c r="A465" s="79">
        <v>454.0</v>
      </c>
      <c r="B465" s="91" t="s">
        <v>32</v>
      </c>
      <c r="C465" s="91" t="s">
        <v>3219</v>
      </c>
      <c r="D465" s="91" t="s">
        <v>3250</v>
      </c>
      <c r="E465" s="92" t="s">
        <v>3251</v>
      </c>
      <c r="F465" s="91" t="s">
        <v>22</v>
      </c>
      <c r="G465" s="80" t="s">
        <v>12</v>
      </c>
      <c r="H465" s="80" t="s">
        <v>22</v>
      </c>
      <c r="I465" s="91" t="s">
        <v>3252</v>
      </c>
      <c r="J465" s="80" t="s">
        <v>43</v>
      </c>
      <c r="K465" s="91" t="s">
        <v>3253</v>
      </c>
      <c r="L465" s="82" t="s">
        <v>3254</v>
      </c>
      <c r="M465" s="83">
        <f t="shared" si="1"/>
        <v>956</v>
      </c>
      <c r="N465" s="84"/>
      <c r="O465" s="84">
        <v>956.0</v>
      </c>
      <c r="P465" s="84"/>
      <c r="Q465" s="94">
        <v>8591.0</v>
      </c>
      <c r="R465" s="94">
        <v>21297.0</v>
      </c>
      <c r="S465" s="95" t="s">
        <v>652</v>
      </c>
      <c r="T465" s="94">
        <v>1.0</v>
      </c>
      <c r="U465" s="96">
        <v>34045.0</v>
      </c>
      <c r="V465" s="97" t="s">
        <v>3255</v>
      </c>
      <c r="W465" s="97" t="s">
        <v>3256</v>
      </c>
      <c r="X465" s="79" t="s">
        <v>3257</v>
      </c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  <c r="AQ465" s="88"/>
      <c r="AR465" s="88"/>
    </row>
    <row r="466" ht="19.5" customHeight="1">
      <c r="A466" s="79">
        <v>455.0</v>
      </c>
      <c r="B466" s="91" t="s">
        <v>32</v>
      </c>
      <c r="C466" s="91" t="s">
        <v>3258</v>
      </c>
      <c r="D466" s="91" t="s">
        <v>3259</v>
      </c>
      <c r="E466" s="92" t="s">
        <v>3260</v>
      </c>
      <c r="F466" s="91" t="s">
        <v>687</v>
      </c>
      <c r="G466" s="80" t="s">
        <v>44</v>
      </c>
      <c r="H466" s="80" t="s">
        <v>21</v>
      </c>
      <c r="I466" s="91" t="s">
        <v>3261</v>
      </c>
      <c r="J466" s="80" t="s">
        <v>43</v>
      </c>
      <c r="K466" s="91" t="s">
        <v>3258</v>
      </c>
      <c r="L466" s="82" t="s">
        <v>3262</v>
      </c>
      <c r="M466" s="83">
        <f t="shared" si="1"/>
        <v>100</v>
      </c>
      <c r="N466" s="84">
        <v>100.0</v>
      </c>
      <c r="O466" s="84"/>
      <c r="P466" s="84"/>
      <c r="Q466" s="94">
        <v>3606.0</v>
      </c>
      <c r="R466" s="94">
        <v>765.0</v>
      </c>
      <c r="S466" s="95" t="s">
        <v>3263</v>
      </c>
      <c r="T466" s="94">
        <v>1.0</v>
      </c>
      <c r="U466" s="96">
        <v>38169.0</v>
      </c>
      <c r="V466" s="97" t="s">
        <v>3264</v>
      </c>
      <c r="W466" s="97" t="s">
        <v>3265</v>
      </c>
      <c r="X466" s="79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  <c r="AQ466" s="88"/>
      <c r="AR466" s="88"/>
    </row>
    <row r="467" ht="19.5" customHeight="1">
      <c r="A467" s="79">
        <v>456.0</v>
      </c>
      <c r="B467" s="95" t="s">
        <v>32</v>
      </c>
      <c r="C467" s="95" t="s">
        <v>3258</v>
      </c>
      <c r="D467" s="95" t="s">
        <v>3259</v>
      </c>
      <c r="E467" s="100" t="s">
        <v>3266</v>
      </c>
      <c r="F467" s="95" t="s">
        <v>687</v>
      </c>
      <c r="G467" s="80" t="s">
        <v>42</v>
      </c>
      <c r="H467" s="80" t="s">
        <v>21</v>
      </c>
      <c r="I467" s="95" t="s">
        <v>3261</v>
      </c>
      <c r="J467" s="80" t="s">
        <v>45</v>
      </c>
      <c r="K467" s="95" t="s">
        <v>3169</v>
      </c>
      <c r="L467" s="82" t="s">
        <v>3267</v>
      </c>
      <c r="M467" s="83">
        <f t="shared" si="1"/>
        <v>300</v>
      </c>
      <c r="N467" s="84">
        <v>300.0</v>
      </c>
      <c r="O467" s="84"/>
      <c r="P467" s="84"/>
      <c r="Q467" s="94">
        <v>2943.0</v>
      </c>
      <c r="R467" s="94">
        <v>2221.33</v>
      </c>
      <c r="S467" s="95" t="s">
        <v>2849</v>
      </c>
      <c r="T467" s="94">
        <v>1.0</v>
      </c>
      <c r="U467" s="96">
        <v>40365.0</v>
      </c>
      <c r="V467" s="97" t="s">
        <v>3268</v>
      </c>
      <c r="W467" s="97" t="s">
        <v>3269</v>
      </c>
      <c r="X467" s="79" t="s">
        <v>3270</v>
      </c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  <c r="AQ467" s="88"/>
      <c r="AR467" s="88"/>
    </row>
    <row r="468" ht="19.5" customHeight="1">
      <c r="A468" s="79">
        <v>457.0</v>
      </c>
      <c r="B468" s="95" t="s">
        <v>32</v>
      </c>
      <c r="C468" s="95" t="s">
        <v>3258</v>
      </c>
      <c r="D468" s="95" t="s">
        <v>3271</v>
      </c>
      <c r="E468" s="100" t="s">
        <v>3272</v>
      </c>
      <c r="F468" s="95" t="s">
        <v>687</v>
      </c>
      <c r="G468" s="80" t="s">
        <v>46</v>
      </c>
      <c r="H468" s="80" t="s">
        <v>21</v>
      </c>
      <c r="I468" s="95" t="s">
        <v>3261</v>
      </c>
      <c r="J468" s="80" t="s">
        <v>43</v>
      </c>
      <c r="K468" s="95" t="s">
        <v>3258</v>
      </c>
      <c r="L468" s="82" t="s">
        <v>3273</v>
      </c>
      <c r="M468" s="83">
        <f t="shared" si="1"/>
        <v>100</v>
      </c>
      <c r="N468" s="84"/>
      <c r="O468" s="84">
        <v>100.0</v>
      </c>
      <c r="P468" s="84"/>
      <c r="Q468" s="94">
        <v>9630.0</v>
      </c>
      <c r="R468" s="94">
        <v>1566.92</v>
      </c>
      <c r="S468" s="95" t="s">
        <v>350</v>
      </c>
      <c r="T468" s="94">
        <v>1.0</v>
      </c>
      <c r="U468" s="96">
        <v>34536.0</v>
      </c>
      <c r="V468" s="97" t="s">
        <v>3274</v>
      </c>
      <c r="W468" s="97" t="s">
        <v>3275</v>
      </c>
      <c r="X468" s="79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  <c r="AQ468" s="88"/>
      <c r="AR468" s="88"/>
    </row>
    <row r="469" ht="19.5" customHeight="1">
      <c r="A469" s="79">
        <v>458.0</v>
      </c>
      <c r="B469" s="95" t="s">
        <v>32</v>
      </c>
      <c r="C469" s="95" t="s">
        <v>3276</v>
      </c>
      <c r="D469" s="95" t="s">
        <v>3277</v>
      </c>
      <c r="E469" s="100" t="s">
        <v>3278</v>
      </c>
      <c r="F469" s="95" t="s">
        <v>687</v>
      </c>
      <c r="G469" s="80" t="s">
        <v>44</v>
      </c>
      <c r="H469" s="80" t="s">
        <v>21</v>
      </c>
      <c r="I469" s="95" t="s">
        <v>3279</v>
      </c>
      <c r="J469" s="80" t="s">
        <v>43</v>
      </c>
      <c r="K469" s="95" t="s">
        <v>3276</v>
      </c>
      <c r="L469" s="82" t="s">
        <v>3280</v>
      </c>
      <c r="M469" s="83">
        <f t="shared" si="1"/>
        <v>150</v>
      </c>
      <c r="N469" s="84">
        <v>150.0</v>
      </c>
      <c r="O469" s="84"/>
      <c r="P469" s="84"/>
      <c r="Q469" s="94">
        <v>1027.0</v>
      </c>
      <c r="R469" s="94">
        <v>960.0</v>
      </c>
      <c r="S469" s="95" t="s">
        <v>2880</v>
      </c>
      <c r="T469" s="94">
        <v>1.0</v>
      </c>
      <c r="U469" s="96">
        <v>42241.0</v>
      </c>
      <c r="V469" s="97" t="s">
        <v>3281</v>
      </c>
      <c r="W469" s="97" t="s">
        <v>3282</v>
      </c>
      <c r="X469" s="79" t="s">
        <v>3283</v>
      </c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  <c r="AQ469" s="88"/>
      <c r="AR469" s="88"/>
    </row>
    <row r="470" ht="19.5" customHeight="1">
      <c r="A470" s="79">
        <v>459.0</v>
      </c>
      <c r="B470" s="95" t="s">
        <v>32</v>
      </c>
      <c r="C470" s="95" t="s">
        <v>3276</v>
      </c>
      <c r="D470" s="95" t="s">
        <v>3284</v>
      </c>
      <c r="E470" s="100" t="s">
        <v>3285</v>
      </c>
      <c r="F470" s="95" t="s">
        <v>687</v>
      </c>
      <c r="G470" s="80" t="s">
        <v>42</v>
      </c>
      <c r="H470" s="80" t="s">
        <v>21</v>
      </c>
      <c r="I470" s="95" t="s">
        <v>3279</v>
      </c>
      <c r="J470" s="80" t="s">
        <v>43</v>
      </c>
      <c r="K470" s="95" t="s">
        <v>3276</v>
      </c>
      <c r="L470" s="82" t="s">
        <v>3286</v>
      </c>
      <c r="M470" s="83">
        <f t="shared" si="1"/>
        <v>419</v>
      </c>
      <c r="N470" s="84">
        <v>419.0</v>
      </c>
      <c r="O470" s="84"/>
      <c r="P470" s="84"/>
      <c r="Q470" s="94">
        <v>12360.0</v>
      </c>
      <c r="R470" s="94">
        <v>2865.0</v>
      </c>
      <c r="S470" s="95" t="s">
        <v>2849</v>
      </c>
      <c r="T470" s="94">
        <v>1.0</v>
      </c>
      <c r="U470" s="96">
        <v>39168.0</v>
      </c>
      <c r="V470" s="97" t="s">
        <v>3287</v>
      </c>
      <c r="W470" s="97" t="s">
        <v>3288</v>
      </c>
      <c r="X470" s="79" t="s">
        <v>3283</v>
      </c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  <c r="AQ470" s="88"/>
      <c r="AR470" s="88"/>
    </row>
    <row r="471" ht="19.5" customHeight="1">
      <c r="A471" s="79">
        <v>460.0</v>
      </c>
      <c r="B471" s="95" t="s">
        <v>32</v>
      </c>
      <c r="C471" s="95" t="s">
        <v>3276</v>
      </c>
      <c r="D471" s="95" t="s">
        <v>3277</v>
      </c>
      <c r="E471" s="100" t="s">
        <v>3289</v>
      </c>
      <c r="F471" s="95" t="s">
        <v>22</v>
      </c>
      <c r="G471" s="80" t="s">
        <v>46</v>
      </c>
      <c r="H471" s="80" t="s">
        <v>22</v>
      </c>
      <c r="I471" s="95" t="s">
        <v>3290</v>
      </c>
      <c r="J471" s="80" t="s">
        <v>45</v>
      </c>
      <c r="K471" s="95" t="s">
        <v>3291</v>
      </c>
      <c r="L471" s="82" t="s">
        <v>3292</v>
      </c>
      <c r="M471" s="83">
        <f t="shared" si="1"/>
        <v>306</v>
      </c>
      <c r="N471" s="84"/>
      <c r="O471" s="84">
        <v>231.0</v>
      </c>
      <c r="P471" s="84">
        <v>75.0</v>
      </c>
      <c r="Q471" s="94">
        <v>9990.0</v>
      </c>
      <c r="R471" s="94">
        <v>2893.0</v>
      </c>
      <c r="S471" s="95" t="s">
        <v>314</v>
      </c>
      <c r="T471" s="94">
        <v>6.0</v>
      </c>
      <c r="U471" s="96">
        <v>39811.0</v>
      </c>
      <c r="V471" s="97" t="s">
        <v>3293</v>
      </c>
      <c r="W471" s="97" t="s">
        <v>3294</v>
      </c>
      <c r="X471" s="79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  <c r="AQ471" s="88"/>
      <c r="AR471" s="88"/>
    </row>
    <row r="472" ht="19.5" customHeight="1">
      <c r="A472" s="79">
        <v>461.0</v>
      </c>
      <c r="B472" s="95" t="s">
        <v>32</v>
      </c>
      <c r="C472" s="95" t="s">
        <v>3276</v>
      </c>
      <c r="D472" s="95" t="s">
        <v>3284</v>
      </c>
      <c r="E472" s="100" t="s">
        <v>3295</v>
      </c>
      <c r="F472" s="95" t="s">
        <v>687</v>
      </c>
      <c r="G472" s="80" t="s">
        <v>48</v>
      </c>
      <c r="H472" s="80" t="s">
        <v>21</v>
      </c>
      <c r="I472" s="95" t="s">
        <v>3279</v>
      </c>
      <c r="J472" s="80" t="s">
        <v>43</v>
      </c>
      <c r="K472" s="95" t="s">
        <v>3276</v>
      </c>
      <c r="L472" s="82" t="s">
        <v>3296</v>
      </c>
      <c r="M472" s="83">
        <f t="shared" si="1"/>
        <v>213</v>
      </c>
      <c r="N472" s="84"/>
      <c r="O472" s="84">
        <v>13.0</v>
      </c>
      <c r="P472" s="84">
        <v>200.0</v>
      </c>
      <c r="Q472" s="94">
        <v>21000.0</v>
      </c>
      <c r="R472" s="94">
        <v>630.0</v>
      </c>
      <c r="S472" s="95" t="s">
        <v>350</v>
      </c>
      <c r="T472" s="94">
        <v>1.0</v>
      </c>
      <c r="U472" s="96">
        <v>41456.0</v>
      </c>
      <c r="V472" s="97" t="s">
        <v>3297</v>
      </c>
      <c r="W472" s="97" t="s">
        <v>3298</v>
      </c>
      <c r="X472" s="79" t="s">
        <v>3283</v>
      </c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  <c r="AQ472" s="88"/>
      <c r="AR472" s="88"/>
    </row>
    <row r="473" ht="19.5" customHeight="1">
      <c r="A473" s="79">
        <v>462.0</v>
      </c>
      <c r="B473" s="91" t="s">
        <v>32</v>
      </c>
      <c r="C473" s="91" t="s">
        <v>3299</v>
      </c>
      <c r="D473" s="91" t="s">
        <v>3300</v>
      </c>
      <c r="E473" s="92" t="s">
        <v>3301</v>
      </c>
      <c r="F473" s="91" t="s">
        <v>687</v>
      </c>
      <c r="G473" s="80" t="s">
        <v>42</v>
      </c>
      <c r="H473" s="80" t="s">
        <v>21</v>
      </c>
      <c r="I473" s="91" t="s">
        <v>3302</v>
      </c>
      <c r="J473" s="80" t="s">
        <v>43</v>
      </c>
      <c r="K473" s="91" t="s">
        <v>3299</v>
      </c>
      <c r="L473" s="82" t="s">
        <v>3303</v>
      </c>
      <c r="M473" s="83">
        <f t="shared" si="1"/>
        <v>224</v>
      </c>
      <c r="N473" s="84">
        <v>224.0</v>
      </c>
      <c r="O473" s="84"/>
      <c r="P473" s="84"/>
      <c r="Q473" s="94">
        <v>970.0</v>
      </c>
      <c r="R473" s="94">
        <v>2377.0</v>
      </c>
      <c r="S473" s="95" t="s">
        <v>380</v>
      </c>
      <c r="T473" s="94">
        <v>1.0</v>
      </c>
      <c r="U473" s="96">
        <v>41627.0</v>
      </c>
      <c r="V473" s="97" t="s">
        <v>3304</v>
      </c>
      <c r="W473" s="97" t="s">
        <v>3305</v>
      </c>
      <c r="X473" s="79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  <c r="AQ473" s="88"/>
      <c r="AR473" s="88"/>
    </row>
    <row r="474" ht="19.5" customHeight="1">
      <c r="A474" s="79">
        <v>463.0</v>
      </c>
      <c r="B474" s="91" t="s">
        <v>32</v>
      </c>
      <c r="C474" s="91" t="s">
        <v>3299</v>
      </c>
      <c r="D474" s="91" t="s">
        <v>3306</v>
      </c>
      <c r="E474" s="92" t="s">
        <v>3307</v>
      </c>
      <c r="F474" s="91" t="s">
        <v>22</v>
      </c>
      <c r="G474" s="80" t="s">
        <v>12</v>
      </c>
      <c r="H474" s="80" t="s">
        <v>22</v>
      </c>
      <c r="I474" s="91" t="s">
        <v>3308</v>
      </c>
      <c r="J474" s="80" t="s">
        <v>43</v>
      </c>
      <c r="K474" s="91" t="s">
        <v>3309</v>
      </c>
      <c r="L474" s="82" t="s">
        <v>3310</v>
      </c>
      <c r="M474" s="83">
        <f t="shared" si="1"/>
        <v>1918</v>
      </c>
      <c r="N474" s="84"/>
      <c r="O474" s="84">
        <v>1918.0</v>
      </c>
      <c r="P474" s="84"/>
      <c r="Q474" s="94">
        <v>9882.0</v>
      </c>
      <c r="R474" s="94">
        <v>17197.0</v>
      </c>
      <c r="S474" s="95" t="s">
        <v>265</v>
      </c>
      <c r="T474" s="94">
        <v>3.0</v>
      </c>
      <c r="U474" s="96">
        <v>41627.0</v>
      </c>
      <c r="V474" s="97" t="s">
        <v>3311</v>
      </c>
      <c r="W474" s="97" t="s">
        <v>3312</v>
      </c>
      <c r="X474" s="79" t="s">
        <v>3313</v>
      </c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  <c r="AQ474" s="88"/>
      <c r="AR474" s="88"/>
    </row>
    <row r="475" ht="19.5" customHeight="1">
      <c r="A475" s="79">
        <v>464.0</v>
      </c>
      <c r="B475" s="91" t="s">
        <v>32</v>
      </c>
      <c r="C475" s="91" t="s">
        <v>3299</v>
      </c>
      <c r="D475" s="91" t="s">
        <v>3314</v>
      </c>
      <c r="E475" s="92" t="s">
        <v>3315</v>
      </c>
      <c r="F475" s="91" t="s">
        <v>22</v>
      </c>
      <c r="G475" s="80" t="s">
        <v>48</v>
      </c>
      <c r="H475" s="80" t="s">
        <v>22</v>
      </c>
      <c r="I475" s="91" t="s">
        <v>3316</v>
      </c>
      <c r="J475" s="80" t="s">
        <v>43</v>
      </c>
      <c r="K475" s="91" t="s">
        <v>3316</v>
      </c>
      <c r="L475" s="82" t="s">
        <v>3317</v>
      </c>
      <c r="M475" s="83">
        <f t="shared" si="1"/>
        <v>100</v>
      </c>
      <c r="N475" s="84"/>
      <c r="O475" s="84"/>
      <c r="P475" s="84">
        <v>100.0</v>
      </c>
      <c r="Q475" s="94">
        <v>7949.0</v>
      </c>
      <c r="R475" s="94">
        <v>487.9</v>
      </c>
      <c r="S475" s="95" t="s">
        <v>350</v>
      </c>
      <c r="T475" s="94">
        <v>4.0</v>
      </c>
      <c r="U475" s="96">
        <v>41113.0</v>
      </c>
      <c r="V475" s="97" t="s">
        <v>3318</v>
      </c>
      <c r="W475" s="97" t="s">
        <v>3319</v>
      </c>
      <c r="X475" s="79" t="s">
        <v>3320</v>
      </c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  <c r="AQ475" s="88"/>
      <c r="AR475" s="88"/>
    </row>
    <row r="476" ht="19.5" customHeight="1">
      <c r="A476" s="79">
        <v>465.0</v>
      </c>
      <c r="B476" s="91" t="s">
        <v>32</v>
      </c>
      <c r="C476" s="91" t="s">
        <v>3299</v>
      </c>
      <c r="D476" s="91" t="s">
        <v>3306</v>
      </c>
      <c r="E476" s="92" t="s">
        <v>3321</v>
      </c>
      <c r="F476" s="91" t="s">
        <v>687</v>
      </c>
      <c r="G476" s="80" t="s">
        <v>44</v>
      </c>
      <c r="H476" s="80" t="s">
        <v>21</v>
      </c>
      <c r="I476" s="91" t="s">
        <v>3302</v>
      </c>
      <c r="J476" s="80" t="s">
        <v>43</v>
      </c>
      <c r="K476" s="91" t="s">
        <v>3299</v>
      </c>
      <c r="L476" s="82" t="s">
        <v>3322</v>
      </c>
      <c r="M476" s="83">
        <f t="shared" si="1"/>
        <v>100</v>
      </c>
      <c r="N476" s="84">
        <v>100.0</v>
      </c>
      <c r="O476" s="84"/>
      <c r="P476" s="84"/>
      <c r="Q476" s="94">
        <v>69543.0</v>
      </c>
      <c r="R476" s="94">
        <v>772.8</v>
      </c>
      <c r="S476" s="95" t="s">
        <v>350</v>
      </c>
      <c r="T476" s="94">
        <v>1.0</v>
      </c>
      <c r="U476" s="96">
        <v>44027.0</v>
      </c>
      <c r="V476" s="97" t="s">
        <v>3304</v>
      </c>
      <c r="W476" s="97" t="s">
        <v>3305</v>
      </c>
      <c r="X476" s="79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  <c r="AQ476" s="88"/>
      <c r="AR476" s="88"/>
    </row>
    <row r="477" ht="19.5" customHeight="1">
      <c r="A477" s="79">
        <v>466.0</v>
      </c>
      <c r="B477" s="91" t="s">
        <v>33</v>
      </c>
      <c r="C477" s="91" t="s">
        <v>3323</v>
      </c>
      <c r="D477" s="91" t="s">
        <v>3324</v>
      </c>
      <c r="E477" s="92" t="s">
        <v>3325</v>
      </c>
      <c r="F477" s="91" t="s">
        <v>687</v>
      </c>
      <c r="G477" s="80" t="s">
        <v>44</v>
      </c>
      <c r="H477" s="80" t="s">
        <v>21</v>
      </c>
      <c r="I477" s="91" t="s">
        <v>3326</v>
      </c>
      <c r="J477" s="80" t="s">
        <v>43</v>
      </c>
      <c r="K477" s="91" t="s">
        <v>3326</v>
      </c>
      <c r="L477" s="82" t="s">
        <v>3327</v>
      </c>
      <c r="M477" s="83">
        <f t="shared" si="1"/>
        <v>70</v>
      </c>
      <c r="N477" s="84">
        <v>70.0</v>
      </c>
      <c r="O477" s="84">
        <v>0.0</v>
      </c>
      <c r="P477" s="84">
        <v>0.0</v>
      </c>
      <c r="Q477" s="94">
        <v>2000.0</v>
      </c>
      <c r="R477" s="94">
        <v>633.8</v>
      </c>
      <c r="S477" s="95" t="s">
        <v>350</v>
      </c>
      <c r="T477" s="94">
        <v>1.0</v>
      </c>
      <c r="U477" s="96">
        <v>37669.0</v>
      </c>
      <c r="V477" s="97" t="s">
        <v>3328</v>
      </c>
      <c r="W477" s="97" t="s">
        <v>3329</v>
      </c>
      <c r="X477" s="79" t="s">
        <v>3330</v>
      </c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  <c r="AQ477" s="88"/>
      <c r="AR477" s="88"/>
    </row>
    <row r="478" ht="19.5" customHeight="1">
      <c r="A478" s="79">
        <v>467.0</v>
      </c>
      <c r="B478" s="91" t="s">
        <v>33</v>
      </c>
      <c r="C478" s="91" t="s">
        <v>3323</v>
      </c>
      <c r="D478" s="91" t="s">
        <v>3324</v>
      </c>
      <c r="E478" s="92" t="s">
        <v>3331</v>
      </c>
      <c r="F478" s="91" t="s">
        <v>687</v>
      </c>
      <c r="G478" s="80" t="s">
        <v>46</v>
      </c>
      <c r="H478" s="80" t="s">
        <v>21</v>
      </c>
      <c r="I478" s="91" t="s">
        <v>3326</v>
      </c>
      <c r="J478" s="80" t="s">
        <v>45</v>
      </c>
      <c r="K478" s="91" t="s">
        <v>3332</v>
      </c>
      <c r="L478" s="82" t="s">
        <v>3333</v>
      </c>
      <c r="M478" s="83">
        <f t="shared" si="1"/>
        <v>300</v>
      </c>
      <c r="N478" s="84">
        <v>0.0</v>
      </c>
      <c r="O478" s="84">
        <v>300.0</v>
      </c>
      <c r="P478" s="84">
        <v>0.0</v>
      </c>
      <c r="Q478" s="94">
        <v>22587.0</v>
      </c>
      <c r="R478" s="94">
        <v>5407.0</v>
      </c>
      <c r="S478" s="95" t="s">
        <v>2429</v>
      </c>
      <c r="T478" s="94">
        <v>3.0</v>
      </c>
      <c r="U478" s="96">
        <v>39119.0</v>
      </c>
      <c r="V478" s="97" t="s">
        <v>3334</v>
      </c>
      <c r="W478" s="97" t="s">
        <v>3335</v>
      </c>
      <c r="X478" s="79" t="s">
        <v>3336</v>
      </c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  <c r="AQ478" s="88"/>
      <c r="AR478" s="88"/>
    </row>
    <row r="479" ht="19.5" customHeight="1">
      <c r="A479" s="79">
        <v>468.0</v>
      </c>
      <c r="B479" s="91" t="s">
        <v>33</v>
      </c>
      <c r="C479" s="80" t="s">
        <v>3323</v>
      </c>
      <c r="D479" s="80" t="s">
        <v>3337</v>
      </c>
      <c r="E479" s="81" t="s">
        <v>3338</v>
      </c>
      <c r="F479" s="80" t="s">
        <v>1807</v>
      </c>
      <c r="G479" s="80" t="s">
        <v>46</v>
      </c>
      <c r="H479" s="80" t="s">
        <v>21</v>
      </c>
      <c r="I479" s="80" t="s">
        <v>3339</v>
      </c>
      <c r="J479" s="80" t="s">
        <v>43</v>
      </c>
      <c r="K479" s="80" t="s">
        <v>3339</v>
      </c>
      <c r="L479" s="82" t="s">
        <v>3340</v>
      </c>
      <c r="M479" s="83">
        <f t="shared" si="1"/>
        <v>480</v>
      </c>
      <c r="N479" s="84">
        <v>0.0</v>
      </c>
      <c r="O479" s="84">
        <v>350.0</v>
      </c>
      <c r="P479" s="84">
        <v>130.0</v>
      </c>
      <c r="Q479" s="94">
        <v>231739.0</v>
      </c>
      <c r="R479" s="94">
        <v>6013.0</v>
      </c>
      <c r="S479" s="95" t="s">
        <v>85</v>
      </c>
      <c r="T479" s="94">
        <v>10.0</v>
      </c>
      <c r="U479" s="96">
        <v>37073.0</v>
      </c>
      <c r="V479" s="97" t="s">
        <v>3341</v>
      </c>
      <c r="W479" s="97" t="s">
        <v>3342</v>
      </c>
      <c r="X479" s="79" t="s">
        <v>3343</v>
      </c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  <c r="AQ479" s="88"/>
      <c r="AR479" s="88"/>
    </row>
    <row r="480" ht="19.5" customHeight="1">
      <c r="A480" s="79">
        <v>469.0</v>
      </c>
      <c r="B480" s="91" t="s">
        <v>33</v>
      </c>
      <c r="C480" s="91" t="s">
        <v>3323</v>
      </c>
      <c r="D480" s="91" t="s">
        <v>3337</v>
      </c>
      <c r="E480" s="92" t="s">
        <v>3344</v>
      </c>
      <c r="F480" s="91" t="s">
        <v>22</v>
      </c>
      <c r="G480" s="80" t="s">
        <v>46</v>
      </c>
      <c r="H480" s="80" t="s">
        <v>22</v>
      </c>
      <c r="I480" s="91" t="s">
        <v>3345</v>
      </c>
      <c r="J480" s="80" t="s">
        <v>43</v>
      </c>
      <c r="K480" s="91" t="s">
        <v>3346</v>
      </c>
      <c r="L480" s="82" t="s">
        <v>3347</v>
      </c>
      <c r="M480" s="83">
        <f t="shared" si="1"/>
        <v>1999</v>
      </c>
      <c r="N480" s="84">
        <v>0.0</v>
      </c>
      <c r="O480" s="84">
        <v>999.0</v>
      </c>
      <c r="P480" s="84">
        <v>1000.0</v>
      </c>
      <c r="Q480" s="94">
        <v>303385.0</v>
      </c>
      <c r="R480" s="94">
        <v>10263.0</v>
      </c>
      <c r="S480" s="95" t="s">
        <v>291</v>
      </c>
      <c r="T480" s="94">
        <v>22.0</v>
      </c>
      <c r="U480" s="96">
        <v>34789.0</v>
      </c>
      <c r="V480" s="97" t="s">
        <v>3348</v>
      </c>
      <c r="W480" s="97" t="s">
        <v>3349</v>
      </c>
      <c r="X480" s="79" t="s">
        <v>3350</v>
      </c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  <c r="AQ480" s="88"/>
      <c r="AR480" s="88"/>
    </row>
    <row r="481" ht="19.5" customHeight="1">
      <c r="A481" s="79">
        <v>470.0</v>
      </c>
      <c r="B481" s="91" t="s">
        <v>33</v>
      </c>
      <c r="C481" s="91" t="s">
        <v>3323</v>
      </c>
      <c r="D481" s="91" t="s">
        <v>3337</v>
      </c>
      <c r="E481" s="92" t="s">
        <v>3351</v>
      </c>
      <c r="F481" s="91" t="s">
        <v>22</v>
      </c>
      <c r="G481" s="80" t="s">
        <v>46</v>
      </c>
      <c r="H481" s="80" t="s">
        <v>22</v>
      </c>
      <c r="I481" s="91" t="s">
        <v>3352</v>
      </c>
      <c r="J481" s="80" t="s">
        <v>43</v>
      </c>
      <c r="K481" s="91" t="s">
        <v>3353</v>
      </c>
      <c r="L481" s="82" t="s">
        <v>3354</v>
      </c>
      <c r="M481" s="83">
        <f t="shared" si="1"/>
        <v>100</v>
      </c>
      <c r="N481" s="84">
        <v>0.0</v>
      </c>
      <c r="O481" s="84">
        <v>100.0</v>
      </c>
      <c r="P481" s="84">
        <v>0.0</v>
      </c>
      <c r="Q481" s="94">
        <v>10140.0</v>
      </c>
      <c r="R481" s="94">
        <v>3251.0</v>
      </c>
      <c r="S481" s="95" t="s">
        <v>291</v>
      </c>
      <c r="T481" s="94">
        <v>1.0</v>
      </c>
      <c r="U481" s="96">
        <v>41577.0</v>
      </c>
      <c r="V481" s="97" t="s">
        <v>3355</v>
      </c>
      <c r="W481" s="97" t="s">
        <v>3356</v>
      </c>
      <c r="X481" s="79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  <c r="AQ481" s="88"/>
      <c r="AR481" s="88"/>
    </row>
    <row r="482" ht="19.5" customHeight="1">
      <c r="A482" s="79">
        <v>471.0</v>
      </c>
      <c r="B482" s="91" t="s">
        <v>33</v>
      </c>
      <c r="C482" s="91" t="s">
        <v>3323</v>
      </c>
      <c r="D482" s="91" t="s">
        <v>3337</v>
      </c>
      <c r="E482" s="92" t="s">
        <v>3357</v>
      </c>
      <c r="F482" s="91" t="s">
        <v>22</v>
      </c>
      <c r="G482" s="80" t="s">
        <v>12</v>
      </c>
      <c r="H482" s="80" t="s">
        <v>22</v>
      </c>
      <c r="I482" s="91" t="s">
        <v>3358</v>
      </c>
      <c r="J482" s="80" t="s">
        <v>43</v>
      </c>
      <c r="K482" s="91" t="s">
        <v>3359</v>
      </c>
      <c r="L482" s="82" t="s">
        <v>3360</v>
      </c>
      <c r="M482" s="83">
        <f t="shared" si="1"/>
        <v>34</v>
      </c>
      <c r="N482" s="84">
        <v>0.0</v>
      </c>
      <c r="O482" s="84">
        <v>34.0</v>
      </c>
      <c r="P482" s="84">
        <v>0.0</v>
      </c>
      <c r="Q482" s="94">
        <v>2950.0</v>
      </c>
      <c r="R482" s="94">
        <v>845.42</v>
      </c>
      <c r="S482" s="95" t="s">
        <v>2757</v>
      </c>
      <c r="T482" s="94">
        <v>1.0</v>
      </c>
      <c r="U482" s="96">
        <v>44714.0</v>
      </c>
      <c r="V482" s="97" t="s">
        <v>3361</v>
      </c>
      <c r="W482" s="97"/>
      <c r="X482" s="79" t="s">
        <v>3362</v>
      </c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  <c r="AQ482" s="88"/>
      <c r="AR482" s="88"/>
    </row>
    <row r="483" ht="19.5" customHeight="1">
      <c r="A483" s="79">
        <v>472.0</v>
      </c>
      <c r="B483" s="91" t="s">
        <v>33</v>
      </c>
      <c r="C483" s="91" t="s">
        <v>3363</v>
      </c>
      <c r="D483" s="91" t="s">
        <v>3364</v>
      </c>
      <c r="E483" s="92" t="s">
        <v>3365</v>
      </c>
      <c r="F483" s="91" t="s">
        <v>687</v>
      </c>
      <c r="G483" s="80" t="s">
        <v>42</v>
      </c>
      <c r="H483" s="80" t="s">
        <v>21</v>
      </c>
      <c r="I483" s="91" t="s">
        <v>3366</v>
      </c>
      <c r="J483" s="80" t="s">
        <v>43</v>
      </c>
      <c r="K483" s="91" t="s">
        <v>3366</v>
      </c>
      <c r="L483" s="82" t="s">
        <v>3367</v>
      </c>
      <c r="M483" s="83">
        <f t="shared" si="1"/>
        <v>250</v>
      </c>
      <c r="N483" s="84">
        <v>250.0</v>
      </c>
      <c r="O483" s="84">
        <v>0.0</v>
      </c>
      <c r="P483" s="84">
        <v>0.0</v>
      </c>
      <c r="Q483" s="94">
        <v>9996.0</v>
      </c>
      <c r="R483" s="94">
        <v>5088.0</v>
      </c>
      <c r="S483" s="95" t="s">
        <v>103</v>
      </c>
      <c r="T483" s="94">
        <v>1.0</v>
      </c>
      <c r="U483" s="96">
        <v>38471.0</v>
      </c>
      <c r="V483" s="97" t="s">
        <v>3368</v>
      </c>
      <c r="W483" s="97" t="s">
        <v>3369</v>
      </c>
      <c r="X483" s="79" t="s">
        <v>3370</v>
      </c>
      <c r="Y483" s="103"/>
      <c r="Z483" s="103"/>
      <c r="AA483" s="103"/>
      <c r="AB483" s="103"/>
      <c r="AC483" s="103"/>
      <c r="AD483" s="103"/>
      <c r="AE483" s="103"/>
      <c r="AF483" s="103"/>
      <c r="AG483" s="103"/>
      <c r="AH483" s="103"/>
      <c r="AI483" s="103"/>
      <c r="AJ483" s="103"/>
      <c r="AK483" s="103"/>
      <c r="AL483" s="103"/>
      <c r="AM483" s="103"/>
      <c r="AN483" s="103"/>
      <c r="AO483" s="103"/>
      <c r="AP483" s="103"/>
      <c r="AQ483" s="103"/>
      <c r="AR483" s="103"/>
    </row>
    <row r="484" ht="19.5" customHeight="1">
      <c r="A484" s="79">
        <v>473.0</v>
      </c>
      <c r="B484" s="91" t="s">
        <v>33</v>
      </c>
      <c r="C484" s="91" t="s">
        <v>3363</v>
      </c>
      <c r="D484" s="91" t="s">
        <v>3364</v>
      </c>
      <c r="E484" s="92" t="s">
        <v>3371</v>
      </c>
      <c r="F484" s="91" t="s">
        <v>687</v>
      </c>
      <c r="G484" s="80" t="s">
        <v>44</v>
      </c>
      <c r="H484" s="80" t="s">
        <v>21</v>
      </c>
      <c r="I484" s="91" t="s">
        <v>3366</v>
      </c>
      <c r="J484" s="80" t="s">
        <v>43</v>
      </c>
      <c r="K484" s="91" t="s">
        <v>3366</v>
      </c>
      <c r="L484" s="82" t="s">
        <v>3372</v>
      </c>
      <c r="M484" s="83">
        <f t="shared" si="1"/>
        <v>75</v>
      </c>
      <c r="N484" s="84">
        <v>75.0</v>
      </c>
      <c r="O484" s="84">
        <v>0.0</v>
      </c>
      <c r="P484" s="84">
        <v>0.0</v>
      </c>
      <c r="Q484" s="94">
        <v>4690.54</v>
      </c>
      <c r="R484" s="94">
        <v>1514.0</v>
      </c>
      <c r="S484" s="95" t="s">
        <v>103</v>
      </c>
      <c r="T484" s="94">
        <v>1.0</v>
      </c>
      <c r="U484" s="96">
        <v>36990.0</v>
      </c>
      <c r="V484" s="97" t="s">
        <v>3373</v>
      </c>
      <c r="W484" s="97" t="s">
        <v>3374</v>
      </c>
      <c r="X484" s="79" t="s">
        <v>3375</v>
      </c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  <c r="AQ484" s="88"/>
      <c r="AR484" s="88"/>
    </row>
    <row r="485" ht="19.5" customHeight="1">
      <c r="A485" s="79">
        <v>474.0</v>
      </c>
      <c r="B485" s="91" t="s">
        <v>33</v>
      </c>
      <c r="C485" s="80" t="s">
        <v>3363</v>
      </c>
      <c r="D485" s="80" t="s">
        <v>3376</v>
      </c>
      <c r="E485" s="81" t="s">
        <v>3377</v>
      </c>
      <c r="F485" s="80" t="s">
        <v>687</v>
      </c>
      <c r="G485" s="80" t="s">
        <v>44</v>
      </c>
      <c r="H485" s="80" t="s">
        <v>21</v>
      </c>
      <c r="I485" s="80" t="s">
        <v>3366</v>
      </c>
      <c r="J485" s="80" t="s">
        <v>43</v>
      </c>
      <c r="K485" s="80" t="s">
        <v>3366</v>
      </c>
      <c r="L485" s="82" t="s">
        <v>3378</v>
      </c>
      <c r="M485" s="83">
        <f t="shared" si="1"/>
        <v>50</v>
      </c>
      <c r="N485" s="84">
        <v>50.0</v>
      </c>
      <c r="O485" s="84">
        <v>0.0</v>
      </c>
      <c r="P485" s="84">
        <v>0.0</v>
      </c>
      <c r="Q485" s="94">
        <v>816.8</v>
      </c>
      <c r="R485" s="94">
        <v>672.14</v>
      </c>
      <c r="S485" s="95" t="s">
        <v>3379</v>
      </c>
      <c r="T485" s="94">
        <v>1.0</v>
      </c>
      <c r="U485" s="96">
        <v>36643.0</v>
      </c>
      <c r="V485" s="97" t="s">
        <v>3380</v>
      </c>
      <c r="W485" s="97" t="s">
        <v>3381</v>
      </c>
      <c r="X485" s="79" t="s">
        <v>3382</v>
      </c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  <c r="AQ485" s="88"/>
      <c r="AR485" s="88"/>
    </row>
    <row r="486" ht="19.5" customHeight="1">
      <c r="A486" s="79">
        <v>475.0</v>
      </c>
      <c r="B486" s="91" t="s">
        <v>33</v>
      </c>
      <c r="C486" s="91" t="s">
        <v>3363</v>
      </c>
      <c r="D486" s="91" t="s">
        <v>3383</v>
      </c>
      <c r="E486" s="92" t="s">
        <v>3384</v>
      </c>
      <c r="F486" s="91" t="s">
        <v>22</v>
      </c>
      <c r="G486" s="80" t="s">
        <v>46</v>
      </c>
      <c r="H486" s="80" t="s">
        <v>22</v>
      </c>
      <c r="I486" s="91" t="s">
        <v>3385</v>
      </c>
      <c r="J486" s="80" t="s">
        <v>43</v>
      </c>
      <c r="K486" s="91" t="s">
        <v>3385</v>
      </c>
      <c r="L486" s="82" t="s">
        <v>3386</v>
      </c>
      <c r="M486" s="83">
        <f t="shared" si="1"/>
        <v>196</v>
      </c>
      <c r="N486" s="84">
        <v>0.0</v>
      </c>
      <c r="O486" s="84">
        <v>196.0</v>
      </c>
      <c r="P486" s="84">
        <v>0.0</v>
      </c>
      <c r="Q486" s="94">
        <v>28746.0</v>
      </c>
      <c r="R486" s="94">
        <v>4997.6</v>
      </c>
      <c r="S486" s="95" t="s">
        <v>3387</v>
      </c>
      <c r="T486" s="94">
        <v>2.0</v>
      </c>
      <c r="U486" s="96">
        <v>44425.0</v>
      </c>
      <c r="V486" s="97" t="s">
        <v>3388</v>
      </c>
      <c r="W486" s="97" t="s">
        <v>3389</v>
      </c>
      <c r="X486" s="79" t="s">
        <v>3390</v>
      </c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  <c r="AQ486" s="88"/>
      <c r="AR486" s="88"/>
    </row>
    <row r="487" ht="19.5" customHeight="1">
      <c r="A487" s="79">
        <v>476.0</v>
      </c>
      <c r="B487" s="91" t="s">
        <v>33</v>
      </c>
      <c r="C487" s="91" t="s">
        <v>3391</v>
      </c>
      <c r="D487" s="91" t="s">
        <v>3392</v>
      </c>
      <c r="E487" s="92" t="s">
        <v>3393</v>
      </c>
      <c r="F487" s="91" t="s">
        <v>22</v>
      </c>
      <c r="G487" s="80" t="s">
        <v>46</v>
      </c>
      <c r="H487" s="80" t="s">
        <v>22</v>
      </c>
      <c r="I487" s="91" t="s">
        <v>3394</v>
      </c>
      <c r="J487" s="80" t="s">
        <v>43</v>
      </c>
      <c r="K487" s="91" t="s">
        <v>3395</v>
      </c>
      <c r="L487" s="82" t="s">
        <v>3396</v>
      </c>
      <c r="M487" s="83">
        <f t="shared" si="1"/>
        <v>500</v>
      </c>
      <c r="N487" s="84">
        <v>0.0</v>
      </c>
      <c r="O487" s="84">
        <v>500.0</v>
      </c>
      <c r="P487" s="84">
        <v>0.0</v>
      </c>
      <c r="Q487" s="94">
        <v>27488.0</v>
      </c>
      <c r="R487" s="94">
        <v>3751.0</v>
      </c>
      <c r="S487" s="95" t="s">
        <v>291</v>
      </c>
      <c r="T487" s="94">
        <v>5.0</v>
      </c>
      <c r="U487" s="96">
        <v>36670.0</v>
      </c>
      <c r="V487" s="97" t="s">
        <v>3397</v>
      </c>
      <c r="W487" s="97" t="s">
        <v>3398</v>
      </c>
      <c r="X487" s="79" t="s">
        <v>3399</v>
      </c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  <c r="AQ487" s="88"/>
      <c r="AR487" s="88"/>
    </row>
    <row r="488" ht="19.5" customHeight="1">
      <c r="A488" s="79">
        <v>477.0</v>
      </c>
      <c r="B488" s="91" t="s">
        <v>33</v>
      </c>
      <c r="C488" s="91" t="s">
        <v>3391</v>
      </c>
      <c r="D488" s="91" t="s">
        <v>3392</v>
      </c>
      <c r="E488" s="92" t="s">
        <v>3400</v>
      </c>
      <c r="F488" s="91" t="s">
        <v>22</v>
      </c>
      <c r="G488" s="80" t="s">
        <v>12</v>
      </c>
      <c r="H488" s="80" t="s">
        <v>22</v>
      </c>
      <c r="I488" s="91" t="s">
        <v>3394</v>
      </c>
      <c r="J488" s="80" t="s">
        <v>43</v>
      </c>
      <c r="K488" s="91" t="s">
        <v>3395</v>
      </c>
      <c r="L488" s="82" t="s">
        <v>3396</v>
      </c>
      <c r="M488" s="83">
        <f t="shared" si="1"/>
        <v>412</v>
      </c>
      <c r="N488" s="84">
        <v>0.0</v>
      </c>
      <c r="O488" s="84">
        <v>412.0</v>
      </c>
      <c r="P488" s="84">
        <v>0.0</v>
      </c>
      <c r="Q488" s="94">
        <v>3237.0</v>
      </c>
      <c r="R488" s="94">
        <v>3041.0</v>
      </c>
      <c r="S488" s="95" t="s">
        <v>2429</v>
      </c>
      <c r="T488" s="94">
        <v>4.0</v>
      </c>
      <c r="U488" s="96">
        <v>39559.0</v>
      </c>
      <c r="V488" s="97" t="s">
        <v>3397</v>
      </c>
      <c r="W488" s="97" t="s">
        <v>3398</v>
      </c>
      <c r="X488" s="79" t="s">
        <v>3401</v>
      </c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  <c r="AQ488" s="88"/>
      <c r="AR488" s="88"/>
    </row>
    <row r="489" ht="19.5" customHeight="1">
      <c r="A489" s="79">
        <v>478.0</v>
      </c>
      <c r="B489" s="91" t="s">
        <v>33</v>
      </c>
      <c r="C489" s="91" t="s">
        <v>3391</v>
      </c>
      <c r="D489" s="91" t="s">
        <v>3402</v>
      </c>
      <c r="E489" s="92" t="s">
        <v>3403</v>
      </c>
      <c r="F489" s="91" t="s">
        <v>687</v>
      </c>
      <c r="G489" s="80" t="s">
        <v>42</v>
      </c>
      <c r="H489" s="80" t="s">
        <v>21</v>
      </c>
      <c r="I489" s="91" t="s">
        <v>3404</v>
      </c>
      <c r="J489" s="80" t="s">
        <v>43</v>
      </c>
      <c r="K489" s="91" t="s">
        <v>3391</v>
      </c>
      <c r="L489" s="82" t="s">
        <v>3405</v>
      </c>
      <c r="M489" s="83">
        <f t="shared" si="1"/>
        <v>200</v>
      </c>
      <c r="N489" s="84">
        <v>200.0</v>
      </c>
      <c r="O489" s="84">
        <v>0.0</v>
      </c>
      <c r="P489" s="84">
        <v>0.0</v>
      </c>
      <c r="Q489" s="94">
        <v>4242.0</v>
      </c>
      <c r="R489" s="94">
        <v>2912.0</v>
      </c>
      <c r="S489" s="95" t="s">
        <v>314</v>
      </c>
      <c r="T489" s="94">
        <v>1.0</v>
      </c>
      <c r="U489" s="96">
        <v>45250.0</v>
      </c>
      <c r="V489" s="97" t="s">
        <v>3406</v>
      </c>
      <c r="W489" s="97" t="s">
        <v>3407</v>
      </c>
      <c r="X489" s="79" t="s">
        <v>3408</v>
      </c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  <c r="AQ489" s="88"/>
      <c r="AR489" s="88"/>
    </row>
    <row r="490" ht="19.5" customHeight="1">
      <c r="A490" s="79">
        <v>479.0</v>
      </c>
      <c r="B490" s="91" t="s">
        <v>33</v>
      </c>
      <c r="C490" s="91" t="s">
        <v>3409</v>
      </c>
      <c r="D490" s="91" t="s">
        <v>3410</v>
      </c>
      <c r="E490" s="92" t="s">
        <v>3411</v>
      </c>
      <c r="F490" s="91" t="s">
        <v>687</v>
      </c>
      <c r="G490" s="80" t="s">
        <v>42</v>
      </c>
      <c r="H490" s="80" t="s">
        <v>21</v>
      </c>
      <c r="I490" s="91" t="s">
        <v>3412</v>
      </c>
      <c r="J490" s="80" t="s">
        <v>43</v>
      </c>
      <c r="K490" s="91" t="s">
        <v>3412</v>
      </c>
      <c r="L490" s="82" t="s">
        <v>3413</v>
      </c>
      <c r="M490" s="83">
        <f t="shared" si="1"/>
        <v>740</v>
      </c>
      <c r="N490" s="84">
        <v>740.0</v>
      </c>
      <c r="O490" s="84">
        <v>0.0</v>
      </c>
      <c r="P490" s="84">
        <v>0.0</v>
      </c>
      <c r="Q490" s="94">
        <v>7136.0</v>
      </c>
      <c r="R490" s="94">
        <v>4622.0</v>
      </c>
      <c r="S490" s="95" t="s">
        <v>314</v>
      </c>
      <c r="T490" s="94">
        <v>1.0</v>
      </c>
      <c r="U490" s="96">
        <v>34460.0</v>
      </c>
      <c r="V490" s="97" t="s">
        <v>3414</v>
      </c>
      <c r="W490" s="97" t="s">
        <v>3415</v>
      </c>
      <c r="X490" s="79" t="s">
        <v>3416</v>
      </c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  <c r="AQ490" s="88"/>
      <c r="AR490" s="88"/>
    </row>
    <row r="491" ht="19.5" customHeight="1">
      <c r="A491" s="79">
        <v>480.0</v>
      </c>
      <c r="B491" s="91" t="s">
        <v>33</v>
      </c>
      <c r="C491" s="91" t="s">
        <v>3409</v>
      </c>
      <c r="D491" s="91" t="s">
        <v>3417</v>
      </c>
      <c r="E491" s="92" t="s">
        <v>3418</v>
      </c>
      <c r="F491" s="91" t="s">
        <v>687</v>
      </c>
      <c r="G491" s="80" t="s">
        <v>44</v>
      </c>
      <c r="H491" s="80" t="s">
        <v>21</v>
      </c>
      <c r="I491" s="91" t="s">
        <v>3412</v>
      </c>
      <c r="J491" s="80" t="s">
        <v>43</v>
      </c>
      <c r="K491" s="91" t="s">
        <v>3412</v>
      </c>
      <c r="L491" s="82" t="s">
        <v>3419</v>
      </c>
      <c r="M491" s="83">
        <f t="shared" si="1"/>
        <v>70</v>
      </c>
      <c r="N491" s="84">
        <v>70.0</v>
      </c>
      <c r="O491" s="84">
        <v>0.0</v>
      </c>
      <c r="P491" s="84">
        <v>0.0</v>
      </c>
      <c r="Q491" s="94">
        <v>1375.0</v>
      </c>
      <c r="R491" s="94">
        <v>739.99</v>
      </c>
      <c r="S491" s="95" t="s">
        <v>350</v>
      </c>
      <c r="T491" s="94">
        <v>1.0</v>
      </c>
      <c r="U491" s="96">
        <v>42306.0</v>
      </c>
      <c r="V491" s="97" t="s">
        <v>3420</v>
      </c>
      <c r="W491" s="97" t="s">
        <v>3421</v>
      </c>
      <c r="X491" s="79" t="s">
        <v>3416</v>
      </c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  <c r="AQ491" s="88"/>
      <c r="AR491" s="88"/>
    </row>
    <row r="492" ht="19.5" customHeight="1">
      <c r="A492" s="79">
        <v>481.0</v>
      </c>
      <c r="B492" s="91" t="s">
        <v>33</v>
      </c>
      <c r="C492" s="91" t="s">
        <v>3409</v>
      </c>
      <c r="D492" s="91" t="s">
        <v>3422</v>
      </c>
      <c r="E492" s="92" t="s">
        <v>3423</v>
      </c>
      <c r="F492" s="91" t="s">
        <v>22</v>
      </c>
      <c r="G492" s="80" t="s">
        <v>46</v>
      </c>
      <c r="H492" s="80" t="s">
        <v>22</v>
      </c>
      <c r="I492" s="91" t="s">
        <v>3424</v>
      </c>
      <c r="J492" s="80" t="s">
        <v>43</v>
      </c>
      <c r="K492" s="91" t="s">
        <v>3425</v>
      </c>
      <c r="L492" s="82" t="s">
        <v>3426</v>
      </c>
      <c r="M492" s="83">
        <f t="shared" si="1"/>
        <v>830</v>
      </c>
      <c r="N492" s="84">
        <v>0.0</v>
      </c>
      <c r="O492" s="84">
        <v>500.0</v>
      </c>
      <c r="P492" s="84">
        <v>330.0</v>
      </c>
      <c r="Q492" s="94">
        <v>7618.0</v>
      </c>
      <c r="R492" s="94">
        <v>7132.0</v>
      </c>
      <c r="S492" s="95" t="s">
        <v>1711</v>
      </c>
      <c r="T492" s="94">
        <v>5.0</v>
      </c>
      <c r="U492" s="96">
        <v>35426.0</v>
      </c>
      <c r="V492" s="97" t="s">
        <v>3427</v>
      </c>
      <c r="W492" s="97" t="s">
        <v>3428</v>
      </c>
      <c r="X492" s="79" t="s">
        <v>3429</v>
      </c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  <c r="AQ492" s="88"/>
      <c r="AR492" s="88"/>
    </row>
    <row r="493" ht="19.5" customHeight="1">
      <c r="A493" s="79">
        <v>482.0</v>
      </c>
      <c r="B493" s="91" t="s">
        <v>33</v>
      </c>
      <c r="C493" s="91" t="s">
        <v>3430</v>
      </c>
      <c r="D493" s="91" t="s">
        <v>3431</v>
      </c>
      <c r="E493" s="92" t="s">
        <v>3432</v>
      </c>
      <c r="F493" s="91" t="s">
        <v>687</v>
      </c>
      <c r="G493" s="80" t="s">
        <v>42</v>
      </c>
      <c r="H493" s="80" t="s">
        <v>21</v>
      </c>
      <c r="I493" s="91" t="s">
        <v>3433</v>
      </c>
      <c r="J493" s="80" t="s">
        <v>43</v>
      </c>
      <c r="K493" s="91" t="s">
        <v>3433</v>
      </c>
      <c r="L493" s="82" t="s">
        <v>3434</v>
      </c>
      <c r="M493" s="83">
        <f t="shared" si="1"/>
        <v>455</v>
      </c>
      <c r="N493" s="84">
        <v>455.0</v>
      </c>
      <c r="O493" s="84">
        <v>0.0</v>
      </c>
      <c r="P493" s="84">
        <v>0.0</v>
      </c>
      <c r="Q493" s="94">
        <v>11044.0</v>
      </c>
      <c r="R493" s="94">
        <v>2194.0</v>
      </c>
      <c r="S493" s="95" t="s">
        <v>291</v>
      </c>
      <c r="T493" s="94">
        <v>2.0</v>
      </c>
      <c r="U493" s="96">
        <v>35520.0</v>
      </c>
      <c r="V493" s="97" t="s">
        <v>3435</v>
      </c>
      <c r="W493" s="97" t="s">
        <v>3436</v>
      </c>
      <c r="X493" s="79" t="s">
        <v>3437</v>
      </c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  <c r="AQ493" s="88"/>
      <c r="AR493" s="88"/>
    </row>
    <row r="494" ht="19.5" customHeight="1">
      <c r="A494" s="79">
        <v>483.0</v>
      </c>
      <c r="B494" s="91" t="s">
        <v>33</v>
      </c>
      <c r="C494" s="91" t="s">
        <v>3430</v>
      </c>
      <c r="D494" s="91" t="s">
        <v>3438</v>
      </c>
      <c r="E494" s="92" t="s">
        <v>3439</v>
      </c>
      <c r="F494" s="91" t="s">
        <v>687</v>
      </c>
      <c r="G494" s="80" t="s">
        <v>44</v>
      </c>
      <c r="H494" s="80" t="s">
        <v>21</v>
      </c>
      <c r="I494" s="91" t="s">
        <v>3433</v>
      </c>
      <c r="J494" s="80" t="s">
        <v>43</v>
      </c>
      <c r="K494" s="91" t="s">
        <v>3433</v>
      </c>
      <c r="L494" s="82" t="s">
        <v>3440</v>
      </c>
      <c r="M494" s="83">
        <f t="shared" si="1"/>
        <v>45</v>
      </c>
      <c r="N494" s="84">
        <v>45.0</v>
      </c>
      <c r="O494" s="84">
        <v>0.0</v>
      </c>
      <c r="P494" s="84">
        <v>0.0</v>
      </c>
      <c r="Q494" s="94">
        <v>645.0</v>
      </c>
      <c r="R494" s="94">
        <v>490.8</v>
      </c>
      <c r="S494" s="95" t="s">
        <v>350</v>
      </c>
      <c r="T494" s="94">
        <v>1.0</v>
      </c>
      <c r="U494" s="96">
        <v>37274.0</v>
      </c>
      <c r="V494" s="97" t="s">
        <v>3441</v>
      </c>
      <c r="W494" s="97" t="s">
        <v>3442</v>
      </c>
      <c r="X494" s="79" t="s">
        <v>3437</v>
      </c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  <c r="AQ494" s="88"/>
      <c r="AR494" s="88"/>
    </row>
    <row r="495" ht="19.5" customHeight="1">
      <c r="A495" s="79">
        <v>484.0</v>
      </c>
      <c r="B495" s="91" t="s">
        <v>33</v>
      </c>
      <c r="C495" s="91" t="s">
        <v>3430</v>
      </c>
      <c r="D495" s="91" t="s">
        <v>3443</v>
      </c>
      <c r="E495" s="92" t="s">
        <v>3444</v>
      </c>
      <c r="F495" s="91" t="s">
        <v>687</v>
      </c>
      <c r="G495" s="80" t="s">
        <v>44</v>
      </c>
      <c r="H495" s="80" t="s">
        <v>21</v>
      </c>
      <c r="I495" s="91" t="s">
        <v>3433</v>
      </c>
      <c r="J495" s="80" t="s">
        <v>43</v>
      </c>
      <c r="K495" s="91" t="s">
        <v>3433</v>
      </c>
      <c r="L495" s="82" t="s">
        <v>3445</v>
      </c>
      <c r="M495" s="83">
        <f t="shared" si="1"/>
        <v>60</v>
      </c>
      <c r="N495" s="84">
        <v>60.0</v>
      </c>
      <c r="O495" s="84">
        <v>0.0</v>
      </c>
      <c r="P495" s="84">
        <v>0.0</v>
      </c>
      <c r="Q495" s="94">
        <v>1083.0</v>
      </c>
      <c r="R495" s="94">
        <v>685.0</v>
      </c>
      <c r="S495" s="95" t="s">
        <v>350</v>
      </c>
      <c r="T495" s="94">
        <v>1.0</v>
      </c>
      <c r="U495" s="96">
        <v>37613.0</v>
      </c>
      <c r="V495" s="97" t="s">
        <v>3446</v>
      </c>
      <c r="W495" s="97" t="s">
        <v>3447</v>
      </c>
      <c r="X495" s="79" t="s">
        <v>3437</v>
      </c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  <c r="AQ495" s="88"/>
      <c r="AR495" s="88"/>
    </row>
    <row r="496" ht="19.5" customHeight="1">
      <c r="A496" s="79">
        <v>485.0</v>
      </c>
      <c r="B496" s="91" t="s">
        <v>33</v>
      </c>
      <c r="C496" s="91" t="s">
        <v>3448</v>
      </c>
      <c r="D496" s="91" t="s">
        <v>3449</v>
      </c>
      <c r="E496" s="92" t="s">
        <v>3450</v>
      </c>
      <c r="F496" s="91" t="s">
        <v>687</v>
      </c>
      <c r="G496" s="80" t="s">
        <v>46</v>
      </c>
      <c r="H496" s="80" t="s">
        <v>21</v>
      </c>
      <c r="I496" s="91" t="s">
        <v>3451</v>
      </c>
      <c r="J496" s="80" t="s">
        <v>45</v>
      </c>
      <c r="K496" s="91" t="s">
        <v>3452</v>
      </c>
      <c r="L496" s="82" t="s">
        <v>3453</v>
      </c>
      <c r="M496" s="83">
        <f t="shared" si="1"/>
        <v>188</v>
      </c>
      <c r="N496" s="84">
        <v>0.0</v>
      </c>
      <c r="O496" s="84">
        <v>188.0</v>
      </c>
      <c r="P496" s="84">
        <v>0.0</v>
      </c>
      <c r="Q496" s="94">
        <v>65709.0</v>
      </c>
      <c r="R496" s="94">
        <v>3262.0</v>
      </c>
      <c r="S496" s="95" t="s">
        <v>291</v>
      </c>
      <c r="T496" s="94">
        <v>2.0</v>
      </c>
      <c r="U496" s="96">
        <v>35280.0</v>
      </c>
      <c r="V496" s="97" t="s">
        <v>3454</v>
      </c>
      <c r="W496" s="97" t="s">
        <v>3455</v>
      </c>
      <c r="X496" s="79" t="s">
        <v>3456</v>
      </c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  <c r="AQ496" s="88"/>
      <c r="AR496" s="88"/>
    </row>
    <row r="497" ht="19.5" customHeight="1">
      <c r="A497" s="79">
        <v>486.0</v>
      </c>
      <c r="B497" s="91" t="s">
        <v>33</v>
      </c>
      <c r="C497" s="91" t="s">
        <v>3448</v>
      </c>
      <c r="D497" s="91" t="s">
        <v>3457</v>
      </c>
      <c r="E497" s="92" t="s">
        <v>3458</v>
      </c>
      <c r="F497" s="91" t="s">
        <v>687</v>
      </c>
      <c r="G497" s="80" t="s">
        <v>44</v>
      </c>
      <c r="H497" s="80" t="s">
        <v>21</v>
      </c>
      <c r="I497" s="91" t="s">
        <v>3451</v>
      </c>
      <c r="J497" s="80" t="s">
        <v>43</v>
      </c>
      <c r="K497" s="91" t="s">
        <v>3448</v>
      </c>
      <c r="L497" s="82" t="s">
        <v>3459</v>
      </c>
      <c r="M497" s="83">
        <f t="shared" si="1"/>
        <v>80</v>
      </c>
      <c r="N497" s="84">
        <v>80.0</v>
      </c>
      <c r="O497" s="84">
        <v>0.0</v>
      </c>
      <c r="P497" s="84">
        <v>0.0</v>
      </c>
      <c r="Q497" s="94">
        <v>1839.0</v>
      </c>
      <c r="R497" s="94">
        <v>677.0</v>
      </c>
      <c r="S497" s="95" t="s">
        <v>350</v>
      </c>
      <c r="T497" s="94">
        <v>1.0</v>
      </c>
      <c r="U497" s="96">
        <v>36339.0</v>
      </c>
      <c r="V497" s="97" t="s">
        <v>3460</v>
      </c>
      <c r="W497" s="97" t="s">
        <v>3461</v>
      </c>
      <c r="X497" s="79" t="s">
        <v>3462</v>
      </c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  <c r="AQ497" s="88"/>
      <c r="AR497" s="88"/>
    </row>
    <row r="498" ht="19.5" customHeight="1">
      <c r="A498" s="79">
        <v>487.0</v>
      </c>
      <c r="B498" s="91" t="s">
        <v>33</v>
      </c>
      <c r="C498" s="91" t="s">
        <v>3448</v>
      </c>
      <c r="D498" s="91" t="s">
        <v>3457</v>
      </c>
      <c r="E498" s="92" t="s">
        <v>3463</v>
      </c>
      <c r="F498" s="91" t="s">
        <v>22</v>
      </c>
      <c r="G498" s="80" t="s">
        <v>46</v>
      </c>
      <c r="H498" s="80" t="s">
        <v>22</v>
      </c>
      <c r="I498" s="91" t="s">
        <v>3464</v>
      </c>
      <c r="J498" s="80" t="s">
        <v>43</v>
      </c>
      <c r="K498" s="91" t="s">
        <v>3464</v>
      </c>
      <c r="L498" s="82" t="s">
        <v>3465</v>
      </c>
      <c r="M498" s="83">
        <f t="shared" si="1"/>
        <v>300</v>
      </c>
      <c r="N498" s="84">
        <v>0.0</v>
      </c>
      <c r="O498" s="84">
        <v>300.0</v>
      </c>
      <c r="P498" s="84">
        <v>0.0</v>
      </c>
      <c r="Q498" s="94">
        <v>233827.0</v>
      </c>
      <c r="R498" s="94">
        <v>26540.0</v>
      </c>
      <c r="S498" s="95" t="s">
        <v>2429</v>
      </c>
      <c r="T498" s="94">
        <v>7.0</v>
      </c>
      <c r="U498" s="96">
        <v>35905.0</v>
      </c>
      <c r="V498" s="97" t="s">
        <v>3466</v>
      </c>
      <c r="W498" s="97" t="s">
        <v>3467</v>
      </c>
      <c r="X498" s="79" t="s">
        <v>3468</v>
      </c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  <c r="AQ498" s="88"/>
      <c r="AR498" s="88"/>
    </row>
    <row r="499" ht="19.5" customHeight="1">
      <c r="A499" s="79">
        <v>488.0</v>
      </c>
      <c r="B499" s="91" t="s">
        <v>33</v>
      </c>
      <c r="C499" s="91" t="s">
        <v>3448</v>
      </c>
      <c r="D499" s="91" t="s">
        <v>3469</v>
      </c>
      <c r="E499" s="92" t="s">
        <v>3470</v>
      </c>
      <c r="F499" s="91" t="s">
        <v>687</v>
      </c>
      <c r="G499" s="80" t="s">
        <v>44</v>
      </c>
      <c r="H499" s="80" t="s">
        <v>21</v>
      </c>
      <c r="I499" s="91" t="s">
        <v>3451</v>
      </c>
      <c r="J499" s="80" t="s">
        <v>45</v>
      </c>
      <c r="K499" s="91" t="s">
        <v>3471</v>
      </c>
      <c r="L499" s="82" t="s">
        <v>3472</v>
      </c>
      <c r="M499" s="83">
        <f t="shared" si="1"/>
        <v>80</v>
      </c>
      <c r="N499" s="84">
        <v>80.0</v>
      </c>
      <c r="O499" s="84">
        <v>0.0</v>
      </c>
      <c r="P499" s="84">
        <v>0.0</v>
      </c>
      <c r="Q499" s="94">
        <v>205.84</v>
      </c>
      <c r="R499" s="94">
        <v>206.0</v>
      </c>
      <c r="S499" s="95" t="s">
        <v>3473</v>
      </c>
      <c r="T499" s="94">
        <v>1.0</v>
      </c>
      <c r="U499" s="96" t="s">
        <v>3474</v>
      </c>
      <c r="V499" s="97" t="s">
        <v>3475</v>
      </c>
      <c r="W499" s="97" t="s">
        <v>3476</v>
      </c>
      <c r="X499" s="79" t="s">
        <v>3477</v>
      </c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  <c r="AQ499" s="88"/>
      <c r="AR499" s="88"/>
    </row>
    <row r="500" ht="19.5" customHeight="1">
      <c r="A500" s="79">
        <v>489.0</v>
      </c>
      <c r="B500" s="91" t="s">
        <v>33</v>
      </c>
      <c r="C500" s="91" t="s">
        <v>3448</v>
      </c>
      <c r="D500" s="91" t="s">
        <v>3478</v>
      </c>
      <c r="E500" s="92" t="s">
        <v>3479</v>
      </c>
      <c r="F500" s="91" t="s">
        <v>687</v>
      </c>
      <c r="G500" s="80" t="s">
        <v>44</v>
      </c>
      <c r="H500" s="80" t="s">
        <v>21</v>
      </c>
      <c r="I500" s="91" t="s">
        <v>3451</v>
      </c>
      <c r="J500" s="80" t="s">
        <v>45</v>
      </c>
      <c r="K500" s="91" t="s">
        <v>3480</v>
      </c>
      <c r="L500" s="82" t="s">
        <v>3481</v>
      </c>
      <c r="M500" s="83">
        <f t="shared" si="1"/>
        <v>80</v>
      </c>
      <c r="N500" s="84">
        <v>80.0</v>
      </c>
      <c r="O500" s="84">
        <v>0.0</v>
      </c>
      <c r="P500" s="84">
        <v>0.0</v>
      </c>
      <c r="Q500" s="94">
        <v>3023.0</v>
      </c>
      <c r="R500" s="94">
        <v>916.86</v>
      </c>
      <c r="S500" s="95" t="s">
        <v>350</v>
      </c>
      <c r="T500" s="94">
        <v>1.0</v>
      </c>
      <c r="U500" s="96">
        <v>43983.0</v>
      </c>
      <c r="V500" s="97" t="s">
        <v>3482</v>
      </c>
      <c r="W500" s="97"/>
      <c r="X500" s="79" t="s">
        <v>3483</v>
      </c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  <c r="AQ500" s="88"/>
      <c r="AR500" s="88"/>
    </row>
    <row r="501" ht="19.5" customHeight="1">
      <c r="A501" s="79">
        <v>490.0</v>
      </c>
      <c r="B501" s="91" t="s">
        <v>33</v>
      </c>
      <c r="C501" s="91" t="s">
        <v>3484</v>
      </c>
      <c r="D501" s="91" t="s">
        <v>3485</v>
      </c>
      <c r="E501" s="92" t="s">
        <v>3486</v>
      </c>
      <c r="F501" s="91" t="s">
        <v>22</v>
      </c>
      <c r="G501" s="80" t="s">
        <v>46</v>
      </c>
      <c r="H501" s="80" t="s">
        <v>22</v>
      </c>
      <c r="I501" s="91" t="s">
        <v>3487</v>
      </c>
      <c r="J501" s="80" t="s">
        <v>43</v>
      </c>
      <c r="K501" s="91" t="s">
        <v>3487</v>
      </c>
      <c r="L501" s="82" t="s">
        <v>3488</v>
      </c>
      <c r="M501" s="83">
        <f t="shared" si="1"/>
        <v>806</v>
      </c>
      <c r="N501" s="84">
        <v>0.0</v>
      </c>
      <c r="O501" s="84">
        <v>480.0</v>
      </c>
      <c r="P501" s="84">
        <v>326.0</v>
      </c>
      <c r="Q501" s="94">
        <v>330000.0</v>
      </c>
      <c r="R501" s="94">
        <v>4817.0</v>
      </c>
      <c r="S501" s="95" t="s">
        <v>373</v>
      </c>
      <c r="T501" s="94">
        <v>2.0</v>
      </c>
      <c r="U501" s="96">
        <v>34230.0</v>
      </c>
      <c r="V501" s="97" t="s">
        <v>3489</v>
      </c>
      <c r="W501" s="97" t="s">
        <v>3490</v>
      </c>
      <c r="X501" s="79" t="s">
        <v>3491</v>
      </c>
      <c r="Y501" s="98"/>
      <c r="Z501" s="98"/>
      <c r="AA501" s="98"/>
      <c r="AB501" s="98"/>
      <c r="AC501" s="98"/>
      <c r="AD501" s="98"/>
      <c r="AE501" s="98"/>
      <c r="AF501" s="98"/>
      <c r="AG501" s="98"/>
      <c r="AH501" s="98"/>
      <c r="AI501" s="98"/>
      <c r="AJ501" s="98"/>
      <c r="AK501" s="98"/>
      <c r="AL501" s="98"/>
      <c r="AM501" s="98"/>
      <c r="AN501" s="98"/>
      <c r="AO501" s="98"/>
      <c r="AP501" s="98"/>
      <c r="AQ501" s="98"/>
      <c r="AR501" s="98"/>
    </row>
    <row r="502" ht="19.5" customHeight="1">
      <c r="A502" s="79">
        <v>491.0</v>
      </c>
      <c r="B502" s="91" t="s">
        <v>33</v>
      </c>
      <c r="C502" s="91" t="s">
        <v>3484</v>
      </c>
      <c r="D502" s="91" t="s">
        <v>1456</v>
      </c>
      <c r="E502" s="92" t="s">
        <v>3492</v>
      </c>
      <c r="F502" s="91" t="s">
        <v>81</v>
      </c>
      <c r="G502" s="80" t="s">
        <v>44</v>
      </c>
      <c r="H502" s="80" t="s">
        <v>21</v>
      </c>
      <c r="I502" s="91" t="s">
        <v>3493</v>
      </c>
      <c r="J502" s="80" t="s">
        <v>45</v>
      </c>
      <c r="K502" s="91" t="s">
        <v>3494</v>
      </c>
      <c r="L502" s="82" t="s">
        <v>3495</v>
      </c>
      <c r="M502" s="83">
        <f t="shared" si="1"/>
        <v>45</v>
      </c>
      <c r="N502" s="84">
        <v>45.0</v>
      </c>
      <c r="O502" s="84">
        <v>0.0</v>
      </c>
      <c r="P502" s="84">
        <v>0.0</v>
      </c>
      <c r="Q502" s="94">
        <v>556.0</v>
      </c>
      <c r="R502" s="94">
        <v>435.0</v>
      </c>
      <c r="S502" s="95" t="s">
        <v>314</v>
      </c>
      <c r="T502" s="94">
        <v>1.0</v>
      </c>
      <c r="U502" s="96">
        <v>38605.0</v>
      </c>
      <c r="V502" s="97" t="s">
        <v>3496</v>
      </c>
      <c r="W502" s="97" t="s">
        <v>3497</v>
      </c>
      <c r="X502" s="79" t="s">
        <v>3498</v>
      </c>
      <c r="Y502" s="98"/>
      <c r="Z502" s="98"/>
      <c r="AA502" s="98"/>
      <c r="AB502" s="98"/>
      <c r="AC502" s="98"/>
      <c r="AD502" s="98"/>
      <c r="AE502" s="98"/>
      <c r="AF502" s="98"/>
      <c r="AG502" s="98"/>
      <c r="AH502" s="98"/>
      <c r="AI502" s="98"/>
      <c r="AJ502" s="98"/>
      <c r="AK502" s="98"/>
      <c r="AL502" s="98"/>
      <c r="AM502" s="98"/>
      <c r="AN502" s="98"/>
      <c r="AO502" s="98"/>
      <c r="AP502" s="98"/>
      <c r="AQ502" s="98"/>
      <c r="AR502" s="98"/>
    </row>
    <row r="503" ht="19.5" customHeight="1">
      <c r="A503" s="79">
        <v>492.0</v>
      </c>
      <c r="B503" s="91" t="s">
        <v>33</v>
      </c>
      <c r="C503" s="91" t="s">
        <v>3484</v>
      </c>
      <c r="D503" s="91" t="s">
        <v>3499</v>
      </c>
      <c r="E503" s="92" t="s">
        <v>3500</v>
      </c>
      <c r="F503" s="91" t="s">
        <v>81</v>
      </c>
      <c r="G503" s="80" t="s">
        <v>46</v>
      </c>
      <c r="H503" s="80" t="s">
        <v>21</v>
      </c>
      <c r="I503" s="91" t="s">
        <v>3493</v>
      </c>
      <c r="J503" s="80" t="s">
        <v>45</v>
      </c>
      <c r="K503" s="91"/>
      <c r="L503" s="82" t="s">
        <v>3501</v>
      </c>
      <c r="M503" s="83">
        <f t="shared" si="1"/>
        <v>302</v>
      </c>
      <c r="N503" s="84">
        <v>0.0</v>
      </c>
      <c r="O503" s="84">
        <v>302.0</v>
      </c>
      <c r="P503" s="84">
        <v>0.0</v>
      </c>
      <c r="Q503" s="94">
        <v>72069.0</v>
      </c>
      <c r="R503" s="94">
        <v>5218.0</v>
      </c>
      <c r="S503" s="95" t="s">
        <v>3005</v>
      </c>
      <c r="T503" s="94">
        <v>1.0</v>
      </c>
      <c r="U503" s="96">
        <v>35845.0</v>
      </c>
      <c r="V503" s="97" t="s">
        <v>3502</v>
      </c>
      <c r="W503" s="97" t="s">
        <v>3503</v>
      </c>
      <c r="X503" s="79" t="s">
        <v>3504</v>
      </c>
      <c r="Y503" s="98"/>
      <c r="Z503" s="98"/>
      <c r="AA503" s="98"/>
      <c r="AB503" s="98"/>
      <c r="AC503" s="98"/>
      <c r="AD503" s="98"/>
      <c r="AE503" s="98"/>
      <c r="AF503" s="98"/>
      <c r="AG503" s="98"/>
      <c r="AH503" s="98"/>
      <c r="AI503" s="98"/>
      <c r="AJ503" s="98"/>
      <c r="AK503" s="98"/>
      <c r="AL503" s="98"/>
      <c r="AM503" s="98"/>
      <c r="AN503" s="98"/>
      <c r="AO503" s="98"/>
      <c r="AP503" s="98"/>
      <c r="AQ503" s="98"/>
      <c r="AR503" s="98"/>
    </row>
    <row r="504" ht="19.5" customHeight="1">
      <c r="A504" s="79">
        <v>493.0</v>
      </c>
      <c r="B504" s="91" t="s">
        <v>33</v>
      </c>
      <c r="C504" s="91" t="s">
        <v>3484</v>
      </c>
      <c r="D504" s="91" t="s">
        <v>3505</v>
      </c>
      <c r="E504" s="92" t="s">
        <v>3506</v>
      </c>
      <c r="F504" s="91" t="s">
        <v>91</v>
      </c>
      <c r="G504" s="80" t="s">
        <v>12</v>
      </c>
      <c r="H504" s="80" t="s">
        <v>21</v>
      </c>
      <c r="I504" s="91" t="s">
        <v>3507</v>
      </c>
      <c r="J504" s="80" t="s">
        <v>47</v>
      </c>
      <c r="K504" s="91" t="s">
        <v>3508</v>
      </c>
      <c r="L504" s="82" t="s">
        <v>3509</v>
      </c>
      <c r="M504" s="83">
        <f t="shared" si="1"/>
        <v>155</v>
      </c>
      <c r="N504" s="84">
        <v>0.0</v>
      </c>
      <c r="O504" s="84">
        <v>155.0</v>
      </c>
      <c r="P504" s="84">
        <v>0.0</v>
      </c>
      <c r="Q504" s="94">
        <v>21478.0</v>
      </c>
      <c r="R504" s="94">
        <v>2958.0</v>
      </c>
      <c r="S504" s="95" t="s">
        <v>2429</v>
      </c>
      <c r="T504" s="94">
        <v>1.0</v>
      </c>
      <c r="U504" s="96">
        <v>41225.0</v>
      </c>
      <c r="V504" s="97" t="s">
        <v>3510</v>
      </c>
      <c r="W504" s="97" t="s">
        <v>3511</v>
      </c>
      <c r="X504" s="79" t="s">
        <v>3512</v>
      </c>
      <c r="Y504" s="98"/>
      <c r="Z504" s="98"/>
      <c r="AA504" s="98"/>
      <c r="AB504" s="98"/>
      <c r="AC504" s="98"/>
      <c r="AD504" s="98"/>
      <c r="AE504" s="98"/>
      <c r="AF504" s="98"/>
      <c r="AG504" s="98"/>
      <c r="AH504" s="98"/>
      <c r="AI504" s="98"/>
      <c r="AJ504" s="98"/>
      <c r="AK504" s="98"/>
      <c r="AL504" s="98"/>
      <c r="AM504" s="98"/>
      <c r="AN504" s="98"/>
      <c r="AO504" s="98"/>
      <c r="AP504" s="98"/>
      <c r="AQ504" s="98"/>
      <c r="AR504" s="98"/>
    </row>
    <row r="505" ht="19.5" customHeight="1">
      <c r="A505" s="79">
        <v>494.0</v>
      </c>
      <c r="B505" s="91" t="s">
        <v>33</v>
      </c>
      <c r="C505" s="91" t="s">
        <v>3484</v>
      </c>
      <c r="D505" s="91" t="s">
        <v>3513</v>
      </c>
      <c r="E505" s="92" t="s">
        <v>3514</v>
      </c>
      <c r="F505" s="91" t="s">
        <v>22</v>
      </c>
      <c r="G505" s="80" t="s">
        <v>12</v>
      </c>
      <c r="H505" s="80" t="s">
        <v>22</v>
      </c>
      <c r="I505" s="91" t="s">
        <v>3515</v>
      </c>
      <c r="J505" s="80" t="s">
        <v>43</v>
      </c>
      <c r="K505" s="91" t="s">
        <v>3515</v>
      </c>
      <c r="L505" s="82" t="s">
        <v>3516</v>
      </c>
      <c r="M505" s="83">
        <f t="shared" si="1"/>
        <v>165</v>
      </c>
      <c r="N505" s="84">
        <v>0.0</v>
      </c>
      <c r="O505" s="84">
        <v>165.0</v>
      </c>
      <c r="P505" s="84">
        <v>0.0</v>
      </c>
      <c r="Q505" s="94">
        <v>8511.0</v>
      </c>
      <c r="R505" s="94">
        <v>2033.0</v>
      </c>
      <c r="S505" s="95" t="s">
        <v>103</v>
      </c>
      <c r="T505" s="94">
        <v>3.0</v>
      </c>
      <c r="U505" s="96">
        <v>36343.0</v>
      </c>
      <c r="V505" s="97" t="s">
        <v>3517</v>
      </c>
      <c r="W505" s="97" t="s">
        <v>3518</v>
      </c>
      <c r="X505" s="79" t="s">
        <v>3519</v>
      </c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  <c r="AQ505" s="88"/>
      <c r="AR505" s="88"/>
    </row>
    <row r="506" ht="19.5" customHeight="1">
      <c r="A506" s="79">
        <v>495.0</v>
      </c>
      <c r="B506" s="91" t="s">
        <v>33</v>
      </c>
      <c r="C506" s="91" t="s">
        <v>3484</v>
      </c>
      <c r="D506" s="91" t="s">
        <v>3485</v>
      </c>
      <c r="E506" s="92" t="s">
        <v>3520</v>
      </c>
      <c r="F506" s="91" t="s">
        <v>22</v>
      </c>
      <c r="G506" s="80" t="s">
        <v>46</v>
      </c>
      <c r="H506" s="80" t="s">
        <v>22</v>
      </c>
      <c r="I506" s="91" t="s">
        <v>3521</v>
      </c>
      <c r="J506" s="80" t="s">
        <v>43</v>
      </c>
      <c r="K506" s="91" t="s">
        <v>3522</v>
      </c>
      <c r="L506" s="82" t="s">
        <v>3523</v>
      </c>
      <c r="M506" s="83">
        <f t="shared" si="1"/>
        <v>490</v>
      </c>
      <c r="N506" s="84">
        <v>0.0</v>
      </c>
      <c r="O506" s="84">
        <v>440.0</v>
      </c>
      <c r="P506" s="84">
        <v>50.0</v>
      </c>
      <c r="Q506" s="94">
        <v>96456.0</v>
      </c>
      <c r="R506" s="94">
        <v>5525.75</v>
      </c>
      <c r="S506" s="95" t="s">
        <v>103</v>
      </c>
      <c r="T506" s="94">
        <v>1.0</v>
      </c>
      <c r="U506" s="96">
        <v>41701.0</v>
      </c>
      <c r="V506" s="97" t="s">
        <v>3524</v>
      </c>
      <c r="W506" s="97" t="s">
        <v>3525</v>
      </c>
      <c r="X506" s="79" t="s">
        <v>3526</v>
      </c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  <c r="AQ506" s="88"/>
      <c r="AR506" s="88"/>
    </row>
    <row r="507" ht="19.5" customHeight="1">
      <c r="A507" s="79">
        <v>496.0</v>
      </c>
      <c r="B507" s="91" t="s">
        <v>33</v>
      </c>
      <c r="C507" s="91" t="s">
        <v>3484</v>
      </c>
      <c r="D507" s="91" t="s">
        <v>3527</v>
      </c>
      <c r="E507" s="92" t="s">
        <v>3528</v>
      </c>
      <c r="F507" s="91" t="s">
        <v>81</v>
      </c>
      <c r="G507" s="80" t="s">
        <v>44</v>
      </c>
      <c r="H507" s="80" t="s">
        <v>21</v>
      </c>
      <c r="I507" s="91" t="s">
        <v>3493</v>
      </c>
      <c r="J507" s="80" t="s">
        <v>43</v>
      </c>
      <c r="K507" s="91" t="s">
        <v>3493</v>
      </c>
      <c r="L507" s="82" t="s">
        <v>3529</v>
      </c>
      <c r="M507" s="83">
        <f t="shared" si="1"/>
        <v>95</v>
      </c>
      <c r="N507" s="84">
        <v>95.0</v>
      </c>
      <c r="O507" s="84">
        <v>0.0</v>
      </c>
      <c r="P507" s="84">
        <v>0.0</v>
      </c>
      <c r="Q507" s="94">
        <v>1185.0</v>
      </c>
      <c r="R507" s="94">
        <v>1255.0</v>
      </c>
      <c r="S507" s="95" t="s">
        <v>320</v>
      </c>
      <c r="T507" s="94">
        <v>1.0</v>
      </c>
      <c r="U507" s="96">
        <v>43066.0</v>
      </c>
      <c r="V507" s="97" t="s">
        <v>3530</v>
      </c>
      <c r="W507" s="97" t="s">
        <v>3531</v>
      </c>
      <c r="X507" s="79" t="s">
        <v>3532</v>
      </c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  <c r="AQ507" s="88"/>
      <c r="AR507" s="88"/>
    </row>
    <row r="508" ht="19.5" customHeight="1">
      <c r="A508" s="79">
        <v>497.0</v>
      </c>
      <c r="B508" s="91" t="s">
        <v>33</v>
      </c>
      <c r="C508" s="91" t="s">
        <v>3484</v>
      </c>
      <c r="D508" s="91" t="s">
        <v>3533</v>
      </c>
      <c r="E508" s="92" t="s">
        <v>3534</v>
      </c>
      <c r="F508" s="91" t="s">
        <v>81</v>
      </c>
      <c r="G508" s="80" t="s">
        <v>42</v>
      </c>
      <c r="H508" s="80" t="s">
        <v>21</v>
      </c>
      <c r="I508" s="91" t="s">
        <v>3493</v>
      </c>
      <c r="J508" s="80" t="s">
        <v>43</v>
      </c>
      <c r="K508" s="91" t="s">
        <v>3493</v>
      </c>
      <c r="L508" s="82" t="s">
        <v>3535</v>
      </c>
      <c r="M508" s="83">
        <f t="shared" si="1"/>
        <v>200</v>
      </c>
      <c r="N508" s="84">
        <v>200.0</v>
      </c>
      <c r="O508" s="84">
        <v>0.0</v>
      </c>
      <c r="P508" s="84">
        <v>0.0</v>
      </c>
      <c r="Q508" s="94">
        <v>2858.0</v>
      </c>
      <c r="R508" s="94">
        <v>2221.0</v>
      </c>
      <c r="S508" s="95" t="s">
        <v>320</v>
      </c>
      <c r="T508" s="94">
        <v>1.0</v>
      </c>
      <c r="U508" s="96">
        <v>44732.0</v>
      </c>
      <c r="V508" s="97" t="s">
        <v>3536</v>
      </c>
      <c r="W508" s="97" t="s">
        <v>3531</v>
      </c>
      <c r="X508" s="79" t="s">
        <v>40</v>
      </c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  <c r="AQ508" s="88"/>
      <c r="AR508" s="88"/>
    </row>
    <row r="509" ht="19.5" customHeight="1">
      <c r="A509" s="79">
        <v>498.0</v>
      </c>
      <c r="B509" s="91" t="s">
        <v>33</v>
      </c>
      <c r="C509" s="91" t="s">
        <v>3484</v>
      </c>
      <c r="D509" s="91" t="s">
        <v>3505</v>
      </c>
      <c r="E509" s="92" t="s">
        <v>3537</v>
      </c>
      <c r="F509" s="91" t="s">
        <v>1579</v>
      </c>
      <c r="G509" s="80" t="s">
        <v>46</v>
      </c>
      <c r="H509" s="80" t="s">
        <v>21</v>
      </c>
      <c r="I509" s="91" t="s">
        <v>3538</v>
      </c>
      <c r="J509" s="80" t="s">
        <v>43</v>
      </c>
      <c r="K509" s="91" t="s">
        <v>3538</v>
      </c>
      <c r="L509" s="82" t="s">
        <v>3539</v>
      </c>
      <c r="M509" s="83">
        <f t="shared" si="1"/>
        <v>84</v>
      </c>
      <c r="N509" s="84">
        <v>0.0</v>
      </c>
      <c r="O509" s="84">
        <v>84.0</v>
      </c>
      <c r="P509" s="84">
        <v>0.0</v>
      </c>
      <c r="Q509" s="94">
        <v>96456.0</v>
      </c>
      <c r="R509" s="94">
        <v>5498.0</v>
      </c>
      <c r="S509" s="95" t="s">
        <v>350</v>
      </c>
      <c r="T509" s="94">
        <v>13.0</v>
      </c>
      <c r="U509" s="96">
        <v>44846.0</v>
      </c>
      <c r="V509" s="97" t="s">
        <v>3540</v>
      </c>
      <c r="W509" s="97" t="s">
        <v>3541</v>
      </c>
      <c r="X509" s="79" t="s">
        <v>3542</v>
      </c>
      <c r="Y509" s="104"/>
      <c r="Z509" s="104"/>
      <c r="AA509" s="104"/>
      <c r="AB509" s="104"/>
      <c r="AC509" s="104"/>
      <c r="AD509" s="104"/>
      <c r="AE509" s="104"/>
      <c r="AF509" s="104"/>
      <c r="AG509" s="104"/>
      <c r="AH509" s="104"/>
      <c r="AI509" s="104"/>
      <c r="AJ509" s="104"/>
      <c r="AK509" s="104"/>
      <c r="AL509" s="104"/>
      <c r="AM509" s="104"/>
      <c r="AN509" s="104"/>
      <c r="AO509" s="104"/>
      <c r="AP509" s="104"/>
      <c r="AQ509" s="104"/>
      <c r="AR509" s="104"/>
    </row>
    <row r="510" ht="19.5" customHeight="1">
      <c r="A510" s="79">
        <v>499.0</v>
      </c>
      <c r="B510" s="91" t="s">
        <v>33</v>
      </c>
      <c r="C510" s="91" t="s">
        <v>3543</v>
      </c>
      <c r="D510" s="91" t="s">
        <v>3544</v>
      </c>
      <c r="E510" s="92" t="s">
        <v>3545</v>
      </c>
      <c r="F510" s="91" t="s">
        <v>687</v>
      </c>
      <c r="G510" s="80" t="s">
        <v>42</v>
      </c>
      <c r="H510" s="80" t="s">
        <v>21</v>
      </c>
      <c r="I510" s="91" t="s">
        <v>3546</v>
      </c>
      <c r="J510" s="80" t="s">
        <v>45</v>
      </c>
      <c r="K510" s="91" t="s">
        <v>3547</v>
      </c>
      <c r="L510" s="82" t="s">
        <v>3548</v>
      </c>
      <c r="M510" s="83">
        <f t="shared" si="1"/>
        <v>300</v>
      </c>
      <c r="N510" s="84">
        <v>300.0</v>
      </c>
      <c r="O510" s="84">
        <v>0.0</v>
      </c>
      <c r="P510" s="84">
        <v>0.0</v>
      </c>
      <c r="Q510" s="94">
        <v>12101.0</v>
      </c>
      <c r="R510" s="94">
        <v>2662.0</v>
      </c>
      <c r="S510" s="95" t="s">
        <v>291</v>
      </c>
      <c r="T510" s="94">
        <v>1.0</v>
      </c>
      <c r="U510" s="96">
        <v>39686.0</v>
      </c>
      <c r="V510" s="97" t="s">
        <v>3549</v>
      </c>
      <c r="W510" s="97" t="s">
        <v>3550</v>
      </c>
      <c r="X510" s="79" t="s">
        <v>3551</v>
      </c>
      <c r="Y510" s="104"/>
      <c r="Z510" s="104"/>
      <c r="AA510" s="104"/>
      <c r="AB510" s="104"/>
      <c r="AC510" s="104"/>
      <c r="AD510" s="104"/>
      <c r="AE510" s="104"/>
      <c r="AF510" s="104"/>
      <c r="AG510" s="104"/>
      <c r="AH510" s="104"/>
      <c r="AI510" s="104"/>
      <c r="AJ510" s="104"/>
      <c r="AK510" s="104"/>
      <c r="AL510" s="104"/>
      <c r="AM510" s="104"/>
      <c r="AN510" s="104"/>
      <c r="AO510" s="104"/>
      <c r="AP510" s="104"/>
      <c r="AQ510" s="104"/>
      <c r="AR510" s="104"/>
    </row>
    <row r="511" ht="19.5" customHeight="1">
      <c r="A511" s="79">
        <v>500.0</v>
      </c>
      <c r="B511" s="91" t="s">
        <v>33</v>
      </c>
      <c r="C511" s="91" t="s">
        <v>3543</v>
      </c>
      <c r="D511" s="91" t="s">
        <v>3544</v>
      </c>
      <c r="E511" s="92" t="s">
        <v>3552</v>
      </c>
      <c r="F511" s="91" t="s">
        <v>687</v>
      </c>
      <c r="G511" s="80" t="s">
        <v>44</v>
      </c>
      <c r="H511" s="80" t="s">
        <v>21</v>
      </c>
      <c r="I511" s="91" t="s">
        <v>3546</v>
      </c>
      <c r="J511" s="80" t="s">
        <v>43</v>
      </c>
      <c r="K511" s="91" t="s">
        <v>3546</v>
      </c>
      <c r="L511" s="82" t="s">
        <v>3553</v>
      </c>
      <c r="M511" s="83">
        <f t="shared" si="1"/>
        <v>108</v>
      </c>
      <c r="N511" s="84">
        <v>108.0</v>
      </c>
      <c r="O511" s="84">
        <v>0.0</v>
      </c>
      <c r="P511" s="84">
        <v>0.0</v>
      </c>
      <c r="Q511" s="94">
        <v>7638.0</v>
      </c>
      <c r="R511" s="94">
        <v>1687.44</v>
      </c>
      <c r="S511" s="95" t="s">
        <v>103</v>
      </c>
      <c r="T511" s="94">
        <v>1.0</v>
      </c>
      <c r="U511" s="96">
        <v>44587.0</v>
      </c>
      <c r="V511" s="97" t="s">
        <v>3554</v>
      </c>
      <c r="W511" s="97" t="s">
        <v>3555</v>
      </c>
      <c r="X511" s="79" t="s">
        <v>3556</v>
      </c>
      <c r="Y511" s="104"/>
      <c r="Z511" s="104"/>
      <c r="AA511" s="104"/>
      <c r="AB511" s="104"/>
      <c r="AC511" s="104"/>
      <c r="AD511" s="104"/>
      <c r="AE511" s="104"/>
      <c r="AF511" s="104"/>
      <c r="AG511" s="104"/>
      <c r="AH511" s="104"/>
      <c r="AI511" s="104"/>
      <c r="AJ511" s="104"/>
      <c r="AK511" s="104"/>
      <c r="AL511" s="104"/>
      <c r="AM511" s="104"/>
      <c r="AN511" s="104"/>
      <c r="AO511" s="104"/>
      <c r="AP511" s="104"/>
      <c r="AQ511" s="104"/>
      <c r="AR511" s="104"/>
    </row>
    <row r="512" ht="19.5" customHeight="1">
      <c r="A512" s="79">
        <v>501.0</v>
      </c>
      <c r="B512" s="91" t="s">
        <v>33</v>
      </c>
      <c r="C512" s="91" t="s">
        <v>3557</v>
      </c>
      <c r="D512" s="91" t="s">
        <v>3558</v>
      </c>
      <c r="E512" s="92" t="s">
        <v>3559</v>
      </c>
      <c r="F512" s="91" t="s">
        <v>687</v>
      </c>
      <c r="G512" s="80" t="s">
        <v>46</v>
      </c>
      <c r="H512" s="80" t="s">
        <v>21</v>
      </c>
      <c r="I512" s="91" t="s">
        <v>3560</v>
      </c>
      <c r="J512" s="80" t="s">
        <v>43</v>
      </c>
      <c r="K512" s="91" t="s">
        <v>3560</v>
      </c>
      <c r="L512" s="82" t="s">
        <v>3561</v>
      </c>
      <c r="M512" s="83">
        <f t="shared" si="1"/>
        <v>324</v>
      </c>
      <c r="N512" s="84">
        <v>0.0</v>
      </c>
      <c r="O512" s="84">
        <v>324.0</v>
      </c>
      <c r="P512" s="84">
        <v>0.0</v>
      </c>
      <c r="Q512" s="94">
        <v>31346.0</v>
      </c>
      <c r="R512" s="94">
        <v>4582.0</v>
      </c>
      <c r="S512" s="95" t="s">
        <v>194</v>
      </c>
      <c r="T512" s="94">
        <v>2.0</v>
      </c>
      <c r="U512" s="96">
        <v>34260.0</v>
      </c>
      <c r="V512" s="97" t="s">
        <v>3562</v>
      </c>
      <c r="W512" s="97" t="s">
        <v>3563</v>
      </c>
      <c r="X512" s="79" t="s">
        <v>3564</v>
      </c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88"/>
      <c r="AL512" s="88"/>
      <c r="AM512" s="88"/>
      <c r="AN512" s="88"/>
      <c r="AO512" s="88"/>
      <c r="AP512" s="88"/>
      <c r="AQ512" s="88"/>
      <c r="AR512" s="88"/>
    </row>
    <row r="513" ht="19.5" customHeight="1">
      <c r="A513" s="79">
        <v>502.0</v>
      </c>
      <c r="B513" s="91" t="s">
        <v>33</v>
      </c>
      <c r="C513" s="80" t="s">
        <v>3557</v>
      </c>
      <c r="D513" s="80" t="s">
        <v>3565</v>
      </c>
      <c r="E513" s="81" t="s">
        <v>3566</v>
      </c>
      <c r="F513" s="80" t="s">
        <v>687</v>
      </c>
      <c r="G513" s="80" t="s">
        <v>42</v>
      </c>
      <c r="H513" s="80" t="s">
        <v>21</v>
      </c>
      <c r="I513" s="80" t="s">
        <v>3560</v>
      </c>
      <c r="J513" s="80" t="s">
        <v>43</v>
      </c>
      <c r="K513" s="80" t="s">
        <v>3560</v>
      </c>
      <c r="L513" s="82" t="s">
        <v>3567</v>
      </c>
      <c r="M513" s="83">
        <f t="shared" si="1"/>
        <v>250</v>
      </c>
      <c r="N513" s="84">
        <v>250.0</v>
      </c>
      <c r="O513" s="84">
        <v>0.0</v>
      </c>
      <c r="P513" s="84">
        <v>0.0</v>
      </c>
      <c r="Q513" s="94" t="s">
        <v>3568</v>
      </c>
      <c r="R513" s="94">
        <v>2598.23</v>
      </c>
      <c r="S513" s="95" t="s">
        <v>1711</v>
      </c>
      <c r="T513" s="94">
        <v>1.0</v>
      </c>
      <c r="U513" s="96">
        <v>41985.0</v>
      </c>
      <c r="V513" s="97" t="s">
        <v>3569</v>
      </c>
      <c r="W513" s="97" t="s">
        <v>3570</v>
      </c>
      <c r="X513" s="79" t="s">
        <v>3571</v>
      </c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88"/>
      <c r="AL513" s="88"/>
      <c r="AM513" s="88"/>
      <c r="AN513" s="88"/>
      <c r="AO513" s="88"/>
      <c r="AP513" s="88"/>
      <c r="AQ513" s="88"/>
      <c r="AR513" s="88"/>
    </row>
    <row r="514" ht="19.5" customHeight="1">
      <c r="A514" s="79">
        <v>503.0</v>
      </c>
      <c r="B514" s="91" t="s">
        <v>33</v>
      </c>
      <c r="C514" s="91" t="s">
        <v>3557</v>
      </c>
      <c r="D514" s="91" t="s">
        <v>3572</v>
      </c>
      <c r="E514" s="92" t="s">
        <v>3573</v>
      </c>
      <c r="F514" s="91" t="s">
        <v>687</v>
      </c>
      <c r="G514" s="80" t="s">
        <v>44</v>
      </c>
      <c r="H514" s="80" t="s">
        <v>21</v>
      </c>
      <c r="I514" s="91" t="s">
        <v>3560</v>
      </c>
      <c r="J514" s="80" t="s">
        <v>43</v>
      </c>
      <c r="K514" s="91" t="s">
        <v>3560</v>
      </c>
      <c r="L514" s="82" t="s">
        <v>3574</v>
      </c>
      <c r="M514" s="83">
        <f t="shared" si="1"/>
        <v>80</v>
      </c>
      <c r="N514" s="84">
        <v>80.0</v>
      </c>
      <c r="O514" s="84">
        <v>0.0</v>
      </c>
      <c r="P514" s="84">
        <v>0.0</v>
      </c>
      <c r="Q514" s="94">
        <v>7536.4</v>
      </c>
      <c r="R514" s="94">
        <v>735.64</v>
      </c>
      <c r="S514" s="95" t="s">
        <v>704</v>
      </c>
      <c r="T514" s="94">
        <v>1.0</v>
      </c>
      <c r="U514" s="96">
        <v>43532.0</v>
      </c>
      <c r="V514" s="97" t="s">
        <v>3575</v>
      </c>
      <c r="W514" s="97" t="s">
        <v>3576</v>
      </c>
      <c r="X514" s="79" t="s">
        <v>3571</v>
      </c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88"/>
      <c r="AL514" s="88"/>
      <c r="AM514" s="88"/>
      <c r="AN514" s="88"/>
      <c r="AO514" s="88"/>
      <c r="AP514" s="88"/>
      <c r="AQ514" s="88"/>
      <c r="AR514" s="88"/>
    </row>
    <row r="515" ht="19.5" customHeight="1">
      <c r="A515" s="79">
        <v>504.0</v>
      </c>
      <c r="B515" s="91" t="s">
        <v>33</v>
      </c>
      <c r="C515" s="91" t="s">
        <v>3577</v>
      </c>
      <c r="D515" s="91" t="s">
        <v>1229</v>
      </c>
      <c r="E515" s="92" t="s">
        <v>3578</v>
      </c>
      <c r="F515" s="91" t="s">
        <v>81</v>
      </c>
      <c r="G515" s="80" t="s">
        <v>42</v>
      </c>
      <c r="H515" s="80" t="s">
        <v>21</v>
      </c>
      <c r="I515" s="91" t="s">
        <v>3579</v>
      </c>
      <c r="J515" s="80" t="s">
        <v>45</v>
      </c>
      <c r="K515" s="91" t="s">
        <v>3580</v>
      </c>
      <c r="L515" s="82" t="s">
        <v>3581</v>
      </c>
      <c r="M515" s="83">
        <f t="shared" si="1"/>
        <v>500</v>
      </c>
      <c r="N515" s="84">
        <v>500.0</v>
      </c>
      <c r="O515" s="84">
        <v>0.0</v>
      </c>
      <c r="P515" s="84">
        <v>0.0</v>
      </c>
      <c r="Q515" s="94">
        <v>10047.0</v>
      </c>
      <c r="R515" s="94">
        <v>5526.0</v>
      </c>
      <c r="S515" s="95" t="s">
        <v>103</v>
      </c>
      <c r="T515" s="94">
        <v>1.0</v>
      </c>
      <c r="U515" s="96">
        <v>38598.0</v>
      </c>
      <c r="V515" s="97" t="s">
        <v>3582</v>
      </c>
      <c r="W515" s="97" t="s">
        <v>3583</v>
      </c>
      <c r="X515" s="79" t="s">
        <v>3584</v>
      </c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88"/>
      <c r="AL515" s="88"/>
      <c r="AM515" s="88"/>
      <c r="AN515" s="88"/>
      <c r="AO515" s="88"/>
      <c r="AP515" s="88"/>
      <c r="AQ515" s="88"/>
      <c r="AR515" s="88"/>
    </row>
    <row r="516" ht="19.5" customHeight="1">
      <c r="A516" s="79">
        <v>505.0</v>
      </c>
      <c r="B516" s="91" t="s">
        <v>33</v>
      </c>
      <c r="C516" s="91" t="s">
        <v>3577</v>
      </c>
      <c r="D516" s="91" t="s">
        <v>3585</v>
      </c>
      <c r="E516" s="92" t="s">
        <v>3586</v>
      </c>
      <c r="F516" s="91" t="s">
        <v>81</v>
      </c>
      <c r="G516" s="80" t="s">
        <v>44</v>
      </c>
      <c r="H516" s="80" t="s">
        <v>21</v>
      </c>
      <c r="I516" s="91" t="s">
        <v>3587</v>
      </c>
      <c r="J516" s="80" t="s">
        <v>45</v>
      </c>
      <c r="K516" s="91" t="s">
        <v>3588</v>
      </c>
      <c r="L516" s="82" t="s">
        <v>3589</v>
      </c>
      <c r="M516" s="83">
        <f t="shared" si="1"/>
        <v>140</v>
      </c>
      <c r="N516" s="84">
        <v>140.0</v>
      </c>
      <c r="O516" s="84">
        <v>0.0</v>
      </c>
      <c r="P516" s="84">
        <v>0.0</v>
      </c>
      <c r="Q516" s="94">
        <v>1189.0</v>
      </c>
      <c r="R516" s="94">
        <v>967.0</v>
      </c>
      <c r="S516" s="95" t="s">
        <v>697</v>
      </c>
      <c r="T516" s="94">
        <v>1.0</v>
      </c>
      <c r="U516" s="96">
        <v>39153.0</v>
      </c>
      <c r="V516" s="97" t="s">
        <v>3590</v>
      </c>
      <c r="W516" s="97" t="s">
        <v>3591</v>
      </c>
      <c r="X516" s="79" t="s">
        <v>3592</v>
      </c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88"/>
      <c r="AL516" s="88"/>
      <c r="AM516" s="88"/>
      <c r="AN516" s="88"/>
      <c r="AO516" s="88"/>
      <c r="AP516" s="88"/>
      <c r="AQ516" s="88"/>
      <c r="AR516" s="88"/>
    </row>
    <row r="517" ht="19.5" customHeight="1">
      <c r="A517" s="79">
        <v>506.0</v>
      </c>
      <c r="B517" s="91" t="s">
        <v>33</v>
      </c>
      <c r="C517" s="91" t="s">
        <v>3577</v>
      </c>
      <c r="D517" s="91" t="s">
        <v>3593</v>
      </c>
      <c r="E517" s="92" t="s">
        <v>3594</v>
      </c>
      <c r="F517" s="91" t="s">
        <v>81</v>
      </c>
      <c r="G517" s="80" t="s">
        <v>44</v>
      </c>
      <c r="H517" s="80" t="s">
        <v>21</v>
      </c>
      <c r="I517" s="91" t="s">
        <v>3587</v>
      </c>
      <c r="J517" s="80" t="s">
        <v>45</v>
      </c>
      <c r="K517" s="91" t="s">
        <v>3595</v>
      </c>
      <c r="L517" s="82" t="s">
        <v>3596</v>
      </c>
      <c r="M517" s="83">
        <f t="shared" si="1"/>
        <v>140</v>
      </c>
      <c r="N517" s="84">
        <v>140.0</v>
      </c>
      <c r="O517" s="84">
        <v>0.0</v>
      </c>
      <c r="P517" s="84">
        <v>0.0</v>
      </c>
      <c r="Q517" s="94">
        <v>32020.0</v>
      </c>
      <c r="R517" s="94">
        <v>958.0</v>
      </c>
      <c r="S517" s="95" t="s">
        <v>697</v>
      </c>
      <c r="T517" s="94">
        <v>1.0</v>
      </c>
      <c r="U517" s="96">
        <v>43823.0</v>
      </c>
      <c r="V517" s="97" t="s">
        <v>3597</v>
      </c>
      <c r="W517" s="97" t="s">
        <v>3598</v>
      </c>
      <c r="X517" s="79" t="s">
        <v>3599</v>
      </c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88"/>
      <c r="AL517" s="88"/>
      <c r="AM517" s="88"/>
      <c r="AN517" s="88"/>
      <c r="AO517" s="88"/>
      <c r="AP517" s="88"/>
      <c r="AQ517" s="88"/>
      <c r="AR517" s="88"/>
    </row>
    <row r="518" ht="19.5" customHeight="1">
      <c r="A518" s="79">
        <v>507.0</v>
      </c>
      <c r="B518" s="91" t="s">
        <v>33</v>
      </c>
      <c r="C518" s="91" t="s">
        <v>3577</v>
      </c>
      <c r="D518" s="91" t="s">
        <v>3600</v>
      </c>
      <c r="E518" s="92" t="s">
        <v>3601</v>
      </c>
      <c r="F518" s="91" t="s">
        <v>81</v>
      </c>
      <c r="G518" s="80" t="s">
        <v>46</v>
      </c>
      <c r="H518" s="80" t="s">
        <v>21</v>
      </c>
      <c r="I518" s="91" t="s">
        <v>3579</v>
      </c>
      <c r="J518" s="80" t="s">
        <v>45</v>
      </c>
      <c r="K518" s="91" t="s">
        <v>152</v>
      </c>
      <c r="L518" s="82" t="s">
        <v>3602</v>
      </c>
      <c r="M518" s="83">
        <f t="shared" si="1"/>
        <v>180</v>
      </c>
      <c r="N518" s="84">
        <v>0.0</v>
      </c>
      <c r="O518" s="84">
        <v>180.0</v>
      </c>
      <c r="P518" s="84">
        <v>0.0</v>
      </c>
      <c r="Q518" s="94">
        <v>32152.0</v>
      </c>
      <c r="R518" s="94">
        <v>2955.0</v>
      </c>
      <c r="S518" s="95" t="s">
        <v>103</v>
      </c>
      <c r="T518" s="94">
        <v>2.0</v>
      </c>
      <c r="U518" s="96">
        <v>36161.0</v>
      </c>
      <c r="V518" s="97" t="s">
        <v>3603</v>
      </c>
      <c r="W518" s="97" t="s">
        <v>3604</v>
      </c>
      <c r="X518" s="79" t="s">
        <v>3605</v>
      </c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88"/>
      <c r="AL518" s="88"/>
      <c r="AM518" s="88"/>
      <c r="AN518" s="88"/>
      <c r="AO518" s="88"/>
      <c r="AP518" s="88"/>
      <c r="AQ518" s="88"/>
      <c r="AR518" s="88"/>
    </row>
    <row r="519" ht="19.5" customHeight="1">
      <c r="A519" s="79">
        <v>508.0</v>
      </c>
      <c r="B519" s="91" t="s">
        <v>33</v>
      </c>
      <c r="C519" s="91" t="s">
        <v>3577</v>
      </c>
      <c r="D519" s="91" t="s">
        <v>3606</v>
      </c>
      <c r="E519" s="92" t="s">
        <v>3607</v>
      </c>
      <c r="F519" s="91" t="s">
        <v>81</v>
      </c>
      <c r="G519" s="80" t="s">
        <v>44</v>
      </c>
      <c r="H519" s="80" t="s">
        <v>21</v>
      </c>
      <c r="I519" s="91" t="s">
        <v>3587</v>
      </c>
      <c r="J519" s="80" t="s">
        <v>45</v>
      </c>
      <c r="K519" s="91" t="s">
        <v>3608</v>
      </c>
      <c r="L519" s="82" t="s">
        <v>3609</v>
      </c>
      <c r="M519" s="83">
        <f t="shared" si="1"/>
        <v>140</v>
      </c>
      <c r="N519" s="84">
        <v>140.0</v>
      </c>
      <c r="O519" s="84">
        <v>0.0</v>
      </c>
      <c r="P519" s="84">
        <v>0.0</v>
      </c>
      <c r="Q519" s="94">
        <v>2325.0</v>
      </c>
      <c r="R519" s="94">
        <v>1377.0</v>
      </c>
      <c r="S519" s="95" t="s">
        <v>350</v>
      </c>
      <c r="T519" s="94">
        <v>1.0</v>
      </c>
      <c r="U519" s="96">
        <v>45510.0</v>
      </c>
      <c r="V519" s="97" t="s">
        <v>3610</v>
      </c>
      <c r="W519" s="97" t="s">
        <v>3611</v>
      </c>
      <c r="X519" s="79" t="s">
        <v>3612</v>
      </c>
      <c r="Y519" s="104"/>
      <c r="Z519" s="104"/>
      <c r="AA519" s="104"/>
      <c r="AB519" s="104"/>
      <c r="AC519" s="104"/>
      <c r="AD519" s="104"/>
      <c r="AE519" s="104"/>
      <c r="AF519" s="104"/>
      <c r="AG519" s="104"/>
      <c r="AH519" s="104"/>
      <c r="AI519" s="104"/>
      <c r="AJ519" s="104"/>
      <c r="AK519" s="104"/>
      <c r="AL519" s="104"/>
      <c r="AM519" s="104"/>
      <c r="AN519" s="104"/>
      <c r="AO519" s="104"/>
      <c r="AP519" s="104"/>
      <c r="AQ519" s="104"/>
      <c r="AR519" s="104"/>
    </row>
    <row r="520" ht="19.5" customHeight="1">
      <c r="A520" s="79">
        <v>509.0</v>
      </c>
      <c r="B520" s="91" t="s">
        <v>33</v>
      </c>
      <c r="C520" s="91" t="s">
        <v>3613</v>
      </c>
      <c r="D520" s="91" t="s">
        <v>3614</v>
      </c>
      <c r="E520" s="92" t="s">
        <v>3615</v>
      </c>
      <c r="F520" s="91" t="s">
        <v>81</v>
      </c>
      <c r="G520" s="80" t="s">
        <v>46</v>
      </c>
      <c r="H520" s="80" t="s">
        <v>21</v>
      </c>
      <c r="I520" s="91" t="s">
        <v>3616</v>
      </c>
      <c r="J520" s="80" t="s">
        <v>45</v>
      </c>
      <c r="K520" s="91" t="s">
        <v>1369</v>
      </c>
      <c r="L520" s="82" t="s">
        <v>3617</v>
      </c>
      <c r="M520" s="83">
        <f t="shared" si="1"/>
        <v>300</v>
      </c>
      <c r="N520" s="84">
        <v>0.0</v>
      </c>
      <c r="O520" s="84">
        <v>300.0</v>
      </c>
      <c r="P520" s="84">
        <v>0.0</v>
      </c>
      <c r="Q520" s="94">
        <v>41460.0</v>
      </c>
      <c r="R520" s="94">
        <v>7225.0</v>
      </c>
      <c r="S520" s="95" t="s">
        <v>103</v>
      </c>
      <c r="T520" s="94">
        <v>3.0</v>
      </c>
      <c r="U520" s="96">
        <v>37026.0</v>
      </c>
      <c r="V520" s="97" t="s">
        <v>3618</v>
      </c>
      <c r="W520" s="97" t="s">
        <v>3619</v>
      </c>
      <c r="X520" s="79" t="s">
        <v>3620</v>
      </c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88"/>
      <c r="AL520" s="88"/>
      <c r="AM520" s="88"/>
      <c r="AN520" s="88"/>
      <c r="AO520" s="88"/>
      <c r="AP520" s="88"/>
      <c r="AQ520" s="88"/>
      <c r="AR520" s="88"/>
    </row>
    <row r="521" ht="19.5" customHeight="1">
      <c r="A521" s="79">
        <v>510.0</v>
      </c>
      <c r="B521" s="91" t="s">
        <v>33</v>
      </c>
      <c r="C521" s="91" t="s">
        <v>3613</v>
      </c>
      <c r="D521" s="91" t="s">
        <v>3621</v>
      </c>
      <c r="E521" s="92" t="s">
        <v>3622</v>
      </c>
      <c r="F521" s="91" t="s">
        <v>22</v>
      </c>
      <c r="G521" s="80" t="s">
        <v>46</v>
      </c>
      <c r="H521" s="80" t="s">
        <v>22</v>
      </c>
      <c r="I521" s="91" t="s">
        <v>3623</v>
      </c>
      <c r="J521" s="80" t="s">
        <v>43</v>
      </c>
      <c r="K521" s="91" t="s">
        <v>3624</v>
      </c>
      <c r="L521" s="82" t="s">
        <v>3625</v>
      </c>
      <c r="M521" s="83">
        <f t="shared" si="1"/>
        <v>100</v>
      </c>
      <c r="N521" s="84">
        <v>0.0</v>
      </c>
      <c r="O521" s="84">
        <v>100.0</v>
      </c>
      <c r="P521" s="84">
        <v>0.0</v>
      </c>
      <c r="Q521" s="94">
        <v>7600.0</v>
      </c>
      <c r="R521" s="94">
        <v>1832.2</v>
      </c>
      <c r="S521" s="95" t="s">
        <v>103</v>
      </c>
      <c r="T521" s="94">
        <v>1.0</v>
      </c>
      <c r="U521" s="96">
        <v>41116.0</v>
      </c>
      <c r="V521" s="97" t="s">
        <v>3626</v>
      </c>
      <c r="W521" s="97"/>
      <c r="X521" s="79" t="s">
        <v>3627</v>
      </c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88"/>
      <c r="AL521" s="88"/>
      <c r="AM521" s="88"/>
      <c r="AN521" s="88"/>
      <c r="AO521" s="88"/>
      <c r="AP521" s="88"/>
      <c r="AQ521" s="88"/>
      <c r="AR521" s="88"/>
    </row>
    <row r="522" ht="19.5" customHeight="1">
      <c r="A522" s="79">
        <v>511.0</v>
      </c>
      <c r="B522" s="91" t="s">
        <v>33</v>
      </c>
      <c r="C522" s="91" t="s">
        <v>3613</v>
      </c>
      <c r="D522" s="91" t="s">
        <v>3628</v>
      </c>
      <c r="E522" s="92" t="s">
        <v>3629</v>
      </c>
      <c r="F522" s="91" t="s">
        <v>22</v>
      </c>
      <c r="G522" s="80" t="s">
        <v>48</v>
      </c>
      <c r="H522" s="80" t="s">
        <v>22</v>
      </c>
      <c r="I522" s="91" t="s">
        <v>3630</v>
      </c>
      <c r="J522" s="80" t="s">
        <v>43</v>
      </c>
      <c r="K522" s="91" t="s">
        <v>3631</v>
      </c>
      <c r="L522" s="82" t="s">
        <v>3632</v>
      </c>
      <c r="M522" s="83">
        <f t="shared" si="1"/>
        <v>126</v>
      </c>
      <c r="N522" s="84">
        <v>0.0</v>
      </c>
      <c r="O522" s="84">
        <v>66.0</v>
      </c>
      <c r="P522" s="84">
        <v>60.0</v>
      </c>
      <c r="Q522" s="94">
        <v>10296.0</v>
      </c>
      <c r="R522" s="94">
        <v>850.43</v>
      </c>
      <c r="S522" s="95" t="s">
        <v>350</v>
      </c>
      <c r="T522" s="94">
        <v>4.0</v>
      </c>
      <c r="U522" s="96">
        <v>41946.0</v>
      </c>
      <c r="V522" s="97" t="s">
        <v>3633</v>
      </c>
      <c r="W522" s="97" t="s">
        <v>3634</v>
      </c>
      <c r="X522" s="79" t="s">
        <v>3635</v>
      </c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88"/>
      <c r="AL522" s="88"/>
      <c r="AM522" s="88"/>
      <c r="AN522" s="88"/>
      <c r="AO522" s="88"/>
      <c r="AP522" s="88"/>
      <c r="AQ522" s="88"/>
      <c r="AR522" s="88"/>
    </row>
    <row r="523" ht="19.5" customHeight="1">
      <c r="A523" s="79">
        <v>512.0</v>
      </c>
      <c r="B523" s="91" t="s">
        <v>33</v>
      </c>
      <c r="C523" s="91" t="s">
        <v>3613</v>
      </c>
      <c r="D523" s="91" t="s">
        <v>3636</v>
      </c>
      <c r="E523" s="92" t="s">
        <v>3637</v>
      </c>
      <c r="F523" s="91" t="s">
        <v>81</v>
      </c>
      <c r="G523" s="80" t="s">
        <v>44</v>
      </c>
      <c r="H523" s="80" t="s">
        <v>21</v>
      </c>
      <c r="I523" s="91" t="s">
        <v>3616</v>
      </c>
      <c r="J523" s="80" t="s">
        <v>45</v>
      </c>
      <c r="K523" s="91" t="s">
        <v>3638</v>
      </c>
      <c r="L523" s="82" t="s">
        <v>3639</v>
      </c>
      <c r="M523" s="83">
        <f t="shared" si="1"/>
        <v>356</v>
      </c>
      <c r="N523" s="84">
        <v>356.0</v>
      </c>
      <c r="O523" s="84">
        <v>0.0</v>
      </c>
      <c r="P523" s="84">
        <v>0.0</v>
      </c>
      <c r="Q523" s="94">
        <v>13654.2</v>
      </c>
      <c r="R523" s="94">
        <v>1511.52</v>
      </c>
      <c r="S523" s="95" t="s">
        <v>291</v>
      </c>
      <c r="T523" s="94">
        <v>1.0</v>
      </c>
      <c r="U523" s="96">
        <v>45107.0</v>
      </c>
      <c r="V523" s="97" t="s">
        <v>3640</v>
      </c>
      <c r="W523" s="97" t="s">
        <v>3641</v>
      </c>
      <c r="X523" s="79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88"/>
      <c r="AL523" s="88"/>
      <c r="AM523" s="88"/>
      <c r="AN523" s="88"/>
      <c r="AO523" s="88"/>
      <c r="AP523" s="88"/>
      <c r="AQ523" s="88"/>
      <c r="AR523" s="88"/>
    </row>
    <row r="524" ht="19.5" customHeight="1">
      <c r="A524" s="79">
        <v>513.0</v>
      </c>
      <c r="B524" s="91" t="s">
        <v>33</v>
      </c>
      <c r="C524" s="80" t="s">
        <v>3613</v>
      </c>
      <c r="D524" s="80" t="s">
        <v>3642</v>
      </c>
      <c r="E524" s="81" t="s">
        <v>3643</v>
      </c>
      <c r="F524" s="80" t="s">
        <v>22</v>
      </c>
      <c r="G524" s="80" t="s">
        <v>46</v>
      </c>
      <c r="H524" s="80" t="s">
        <v>22</v>
      </c>
      <c r="I524" s="80" t="s">
        <v>3644</v>
      </c>
      <c r="J524" s="80" t="s">
        <v>43</v>
      </c>
      <c r="K524" s="91" t="s">
        <v>3645</v>
      </c>
      <c r="L524" s="82" t="s">
        <v>3646</v>
      </c>
      <c r="M524" s="83">
        <f t="shared" si="1"/>
        <v>0</v>
      </c>
      <c r="N524" s="84">
        <v>0.0</v>
      </c>
      <c r="O524" s="84">
        <v>0.0</v>
      </c>
      <c r="P524" s="84">
        <v>0.0</v>
      </c>
      <c r="Q524" s="94">
        <v>29583.0</v>
      </c>
      <c r="R524" s="94">
        <v>2269.54</v>
      </c>
      <c r="S524" s="95" t="s">
        <v>314</v>
      </c>
      <c r="T524" s="94">
        <v>7.0</v>
      </c>
      <c r="U524" s="96">
        <v>45187.0</v>
      </c>
      <c r="V524" s="97"/>
      <c r="W524" s="97" t="s">
        <v>3647</v>
      </c>
      <c r="X524" s="79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88"/>
      <c r="AL524" s="88"/>
      <c r="AM524" s="88"/>
      <c r="AN524" s="88"/>
      <c r="AO524" s="88"/>
      <c r="AP524" s="88"/>
      <c r="AQ524" s="88"/>
      <c r="AR524" s="88"/>
    </row>
    <row r="525" ht="19.5" customHeight="1">
      <c r="A525" s="79">
        <v>514.0</v>
      </c>
      <c r="B525" s="91" t="s">
        <v>33</v>
      </c>
      <c r="C525" s="80" t="s">
        <v>3613</v>
      </c>
      <c r="D525" s="80" t="s">
        <v>3648</v>
      </c>
      <c r="E525" s="81" t="s">
        <v>3649</v>
      </c>
      <c r="F525" s="80" t="s">
        <v>81</v>
      </c>
      <c r="G525" s="80" t="s">
        <v>44</v>
      </c>
      <c r="H525" s="80" t="s">
        <v>21</v>
      </c>
      <c r="I525" s="91" t="s">
        <v>3616</v>
      </c>
      <c r="J525" s="80" t="s">
        <v>45</v>
      </c>
      <c r="K525" s="91" t="s">
        <v>3650</v>
      </c>
      <c r="L525" s="82" t="s">
        <v>3651</v>
      </c>
      <c r="M525" s="83">
        <f t="shared" si="1"/>
        <v>120</v>
      </c>
      <c r="N525" s="84">
        <v>120.0</v>
      </c>
      <c r="O525" s="84">
        <v>0.0</v>
      </c>
      <c r="P525" s="84">
        <v>0.0</v>
      </c>
      <c r="Q525" s="94">
        <v>1955.0</v>
      </c>
      <c r="R525" s="94">
        <v>1580.0</v>
      </c>
      <c r="S525" s="95" t="s">
        <v>194</v>
      </c>
      <c r="T525" s="94">
        <v>1.0</v>
      </c>
      <c r="U525" s="96">
        <v>45292.0</v>
      </c>
      <c r="V525" s="97" t="s">
        <v>3652</v>
      </c>
      <c r="W525" s="97"/>
      <c r="X525" s="79" t="s">
        <v>3653</v>
      </c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88"/>
      <c r="AL525" s="88"/>
      <c r="AM525" s="88"/>
      <c r="AN525" s="88"/>
      <c r="AO525" s="88"/>
      <c r="AP525" s="88"/>
      <c r="AQ525" s="88"/>
      <c r="AR525" s="88"/>
    </row>
    <row r="526" ht="19.5" customHeight="1">
      <c r="A526" s="79">
        <v>515.0</v>
      </c>
      <c r="B526" s="91" t="s">
        <v>34</v>
      </c>
      <c r="C526" s="80" t="s">
        <v>3654</v>
      </c>
      <c r="D526" s="80" t="s">
        <v>3655</v>
      </c>
      <c r="E526" s="81" t="s">
        <v>3656</v>
      </c>
      <c r="F526" s="80" t="s">
        <v>81</v>
      </c>
      <c r="G526" s="80" t="s">
        <v>42</v>
      </c>
      <c r="H526" s="80" t="s">
        <v>21</v>
      </c>
      <c r="I526" s="91" t="s">
        <v>3657</v>
      </c>
      <c r="J526" s="80" t="s">
        <v>45</v>
      </c>
      <c r="K526" s="91" t="s">
        <v>760</v>
      </c>
      <c r="L526" s="82" t="s">
        <v>3658</v>
      </c>
      <c r="M526" s="83">
        <f t="shared" si="1"/>
        <v>250</v>
      </c>
      <c r="N526" s="84">
        <v>250.0</v>
      </c>
      <c r="O526" s="84">
        <v>0.0</v>
      </c>
      <c r="P526" s="84">
        <v>0.0</v>
      </c>
      <c r="Q526" s="94">
        <v>14258.0</v>
      </c>
      <c r="R526" s="94">
        <v>3561.0</v>
      </c>
      <c r="S526" s="95" t="s">
        <v>314</v>
      </c>
      <c r="T526" s="94">
        <v>1.0</v>
      </c>
      <c r="U526" s="96">
        <v>45435.0</v>
      </c>
      <c r="V526" s="97" t="s">
        <v>3659</v>
      </c>
      <c r="W526" s="97" t="s">
        <v>3660</v>
      </c>
      <c r="X526" s="79" t="s">
        <v>3661</v>
      </c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88"/>
      <c r="AL526" s="88"/>
      <c r="AM526" s="88"/>
      <c r="AN526" s="88"/>
      <c r="AO526" s="88"/>
      <c r="AP526" s="88"/>
      <c r="AQ526" s="88"/>
      <c r="AR526" s="88"/>
    </row>
    <row r="527" ht="19.5" customHeight="1">
      <c r="A527" s="79">
        <v>516.0</v>
      </c>
      <c r="B527" s="91" t="s">
        <v>34</v>
      </c>
      <c r="C527" s="91" t="s">
        <v>3662</v>
      </c>
      <c r="D527" s="80" t="s">
        <v>3663</v>
      </c>
      <c r="E527" s="81" t="s">
        <v>3664</v>
      </c>
      <c r="F527" s="80" t="s">
        <v>81</v>
      </c>
      <c r="G527" s="80" t="s">
        <v>44</v>
      </c>
      <c r="H527" s="80" t="s">
        <v>21</v>
      </c>
      <c r="I527" s="91" t="s">
        <v>3665</v>
      </c>
      <c r="J527" s="80" t="s">
        <v>45</v>
      </c>
      <c r="K527" s="91" t="s">
        <v>3666</v>
      </c>
      <c r="L527" s="82" t="s">
        <v>3667</v>
      </c>
      <c r="M527" s="83">
        <f t="shared" si="1"/>
        <v>100</v>
      </c>
      <c r="N527" s="84">
        <v>100.0</v>
      </c>
      <c r="O527" s="84"/>
      <c r="P527" s="84"/>
      <c r="Q527" s="94">
        <v>2452.0</v>
      </c>
      <c r="R527" s="94">
        <v>1447.0</v>
      </c>
      <c r="S527" s="95" t="s">
        <v>380</v>
      </c>
      <c r="T527" s="94">
        <v>1.0</v>
      </c>
      <c r="U527" s="96">
        <v>38721.0</v>
      </c>
      <c r="V527" s="97" t="s">
        <v>3668</v>
      </c>
      <c r="W527" s="97" t="s">
        <v>3669</v>
      </c>
      <c r="X527" s="79" t="s">
        <v>3670</v>
      </c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88"/>
      <c r="AL527" s="88"/>
      <c r="AM527" s="88"/>
      <c r="AN527" s="88"/>
      <c r="AO527" s="88"/>
      <c r="AP527" s="88"/>
      <c r="AQ527" s="88"/>
      <c r="AR527" s="88"/>
    </row>
    <row r="528" ht="19.5" customHeight="1">
      <c r="A528" s="79">
        <v>517.0</v>
      </c>
      <c r="B528" s="91" t="s">
        <v>34</v>
      </c>
      <c r="C528" s="91" t="s">
        <v>3662</v>
      </c>
      <c r="D528" s="80" t="s">
        <v>3671</v>
      </c>
      <c r="E528" s="81" t="s">
        <v>3672</v>
      </c>
      <c r="F528" s="80" t="s">
        <v>22</v>
      </c>
      <c r="G528" s="80" t="s">
        <v>12</v>
      </c>
      <c r="H528" s="80" t="s">
        <v>22</v>
      </c>
      <c r="I528" s="91" t="s">
        <v>3673</v>
      </c>
      <c r="J528" s="80" t="s">
        <v>43</v>
      </c>
      <c r="K528" s="91" t="s">
        <v>3672</v>
      </c>
      <c r="L528" s="82" t="s">
        <v>3674</v>
      </c>
      <c r="M528" s="83">
        <f t="shared" si="1"/>
        <v>1072</v>
      </c>
      <c r="N528" s="84"/>
      <c r="O528" s="84">
        <v>1072.0</v>
      </c>
      <c r="P528" s="84"/>
      <c r="Q528" s="94">
        <v>19639.0</v>
      </c>
      <c r="R528" s="94">
        <v>7104.0</v>
      </c>
      <c r="S528" s="95" t="s">
        <v>320</v>
      </c>
      <c r="T528" s="94">
        <v>8.0</v>
      </c>
      <c r="U528" s="96">
        <v>38086.0</v>
      </c>
      <c r="V528" s="97" t="s">
        <v>3675</v>
      </c>
      <c r="W528" s="97" t="s">
        <v>3676</v>
      </c>
      <c r="X528" s="79" t="s">
        <v>3677</v>
      </c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88"/>
      <c r="AL528" s="88"/>
      <c r="AM528" s="88"/>
      <c r="AN528" s="88"/>
      <c r="AO528" s="88"/>
      <c r="AP528" s="88"/>
      <c r="AQ528" s="88"/>
      <c r="AR528" s="88"/>
    </row>
    <row r="529" ht="19.5" customHeight="1">
      <c r="A529" s="79">
        <v>518.0</v>
      </c>
      <c r="B529" s="91" t="s">
        <v>34</v>
      </c>
      <c r="C529" s="91" t="s">
        <v>3662</v>
      </c>
      <c r="D529" s="91" t="s">
        <v>3678</v>
      </c>
      <c r="E529" s="92" t="s">
        <v>3679</v>
      </c>
      <c r="F529" s="91" t="s">
        <v>81</v>
      </c>
      <c r="G529" s="80" t="s">
        <v>44</v>
      </c>
      <c r="H529" s="80" t="s">
        <v>21</v>
      </c>
      <c r="I529" s="91" t="s">
        <v>3665</v>
      </c>
      <c r="J529" s="80" t="s">
        <v>45</v>
      </c>
      <c r="K529" s="91" t="s">
        <v>3666</v>
      </c>
      <c r="L529" s="82" t="s">
        <v>3680</v>
      </c>
      <c r="M529" s="83">
        <f t="shared" si="1"/>
        <v>100</v>
      </c>
      <c r="N529" s="84">
        <v>100.0</v>
      </c>
      <c r="O529" s="84"/>
      <c r="P529" s="84"/>
      <c r="Q529" s="94">
        <v>1627.0</v>
      </c>
      <c r="R529" s="94">
        <v>1136.76</v>
      </c>
      <c r="S529" s="95" t="s">
        <v>3681</v>
      </c>
      <c r="T529" s="94">
        <v>1.0</v>
      </c>
      <c r="U529" s="96">
        <v>43958.0</v>
      </c>
      <c r="V529" s="97" t="s">
        <v>3682</v>
      </c>
      <c r="W529" s="97" t="s">
        <v>3683</v>
      </c>
      <c r="X529" s="79" t="s">
        <v>3684</v>
      </c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88"/>
      <c r="AL529" s="88"/>
      <c r="AM529" s="88"/>
      <c r="AN529" s="88"/>
      <c r="AO529" s="88"/>
      <c r="AP529" s="88"/>
      <c r="AQ529" s="88"/>
      <c r="AR529" s="88"/>
    </row>
    <row r="530" ht="19.5" customHeight="1">
      <c r="A530" s="79">
        <v>519.0</v>
      </c>
      <c r="B530" s="80" t="s">
        <v>34</v>
      </c>
      <c r="C530" s="80" t="s">
        <v>3685</v>
      </c>
      <c r="D530" s="80" t="s">
        <v>3686</v>
      </c>
      <c r="E530" s="81" t="s">
        <v>3687</v>
      </c>
      <c r="F530" s="80" t="s">
        <v>687</v>
      </c>
      <c r="G530" s="80" t="s">
        <v>44</v>
      </c>
      <c r="H530" s="80" t="s">
        <v>21</v>
      </c>
      <c r="I530" s="80" t="s">
        <v>3688</v>
      </c>
      <c r="J530" s="80" t="s">
        <v>43</v>
      </c>
      <c r="K530" s="80" t="s">
        <v>3685</v>
      </c>
      <c r="L530" s="131" t="s">
        <v>3689</v>
      </c>
      <c r="M530" s="83">
        <f t="shared" si="1"/>
        <v>150</v>
      </c>
      <c r="N530" s="84">
        <v>150.0</v>
      </c>
      <c r="O530" s="84"/>
      <c r="P530" s="84"/>
      <c r="Q530" s="94">
        <v>2589.0</v>
      </c>
      <c r="R530" s="94">
        <v>1659.0</v>
      </c>
      <c r="S530" s="95" t="s">
        <v>314</v>
      </c>
      <c r="T530" s="94">
        <v>1.0</v>
      </c>
      <c r="U530" s="96">
        <v>41638.0</v>
      </c>
      <c r="V530" s="97" t="s">
        <v>3690</v>
      </c>
      <c r="W530" s="97" t="s">
        <v>3691</v>
      </c>
      <c r="X530" s="79" t="s">
        <v>3692</v>
      </c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88"/>
      <c r="AL530" s="88"/>
      <c r="AM530" s="88"/>
      <c r="AN530" s="88"/>
      <c r="AO530" s="88"/>
      <c r="AP530" s="88"/>
      <c r="AQ530" s="88"/>
      <c r="AR530" s="88"/>
    </row>
    <row r="531" ht="19.5" customHeight="1">
      <c r="A531" s="79">
        <v>520.0</v>
      </c>
      <c r="B531" s="80" t="s">
        <v>34</v>
      </c>
      <c r="C531" s="80" t="s">
        <v>3685</v>
      </c>
      <c r="D531" s="80" t="s">
        <v>3686</v>
      </c>
      <c r="E531" s="81" t="s">
        <v>3693</v>
      </c>
      <c r="F531" s="80" t="s">
        <v>687</v>
      </c>
      <c r="G531" s="80" t="s">
        <v>42</v>
      </c>
      <c r="H531" s="80" t="s">
        <v>21</v>
      </c>
      <c r="I531" s="80" t="s">
        <v>3688</v>
      </c>
      <c r="J531" s="80" t="s">
        <v>43</v>
      </c>
      <c r="K531" s="80" t="s">
        <v>3685</v>
      </c>
      <c r="L531" s="131" t="s">
        <v>3694</v>
      </c>
      <c r="M531" s="83">
        <f t="shared" si="1"/>
        <v>150</v>
      </c>
      <c r="N531" s="84">
        <v>150.0</v>
      </c>
      <c r="O531" s="84"/>
      <c r="P531" s="84"/>
      <c r="Q531" s="94">
        <v>31540.0</v>
      </c>
      <c r="R531" s="94">
        <v>13614.0</v>
      </c>
      <c r="S531" s="95" t="s">
        <v>3695</v>
      </c>
      <c r="T531" s="94">
        <v>1.0</v>
      </c>
      <c r="U531" s="96">
        <v>38453.0</v>
      </c>
      <c r="V531" s="97" t="s">
        <v>3696</v>
      </c>
      <c r="W531" s="97" t="s">
        <v>3697</v>
      </c>
      <c r="X531" s="79" t="s">
        <v>3698</v>
      </c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88"/>
      <c r="AL531" s="88"/>
      <c r="AM531" s="88"/>
      <c r="AN531" s="88"/>
      <c r="AO531" s="88"/>
      <c r="AP531" s="88"/>
      <c r="AQ531" s="88"/>
      <c r="AR531" s="88"/>
    </row>
    <row r="532" ht="19.5" customHeight="1">
      <c r="A532" s="79">
        <v>521.0</v>
      </c>
      <c r="B532" s="80" t="s">
        <v>34</v>
      </c>
      <c r="C532" s="80" t="s">
        <v>3685</v>
      </c>
      <c r="D532" s="80" t="s">
        <v>3699</v>
      </c>
      <c r="E532" s="81" t="s">
        <v>3700</v>
      </c>
      <c r="F532" s="80" t="s">
        <v>22</v>
      </c>
      <c r="G532" s="80" t="s">
        <v>46</v>
      </c>
      <c r="H532" s="80" t="s">
        <v>22</v>
      </c>
      <c r="I532" s="80" t="s">
        <v>3701</v>
      </c>
      <c r="J532" s="80" t="s">
        <v>45</v>
      </c>
      <c r="K532" s="80" t="s">
        <v>3702</v>
      </c>
      <c r="L532" s="131" t="s">
        <v>3703</v>
      </c>
      <c r="M532" s="83">
        <f t="shared" si="1"/>
        <v>500</v>
      </c>
      <c r="N532" s="84"/>
      <c r="O532" s="84">
        <v>400.0</v>
      </c>
      <c r="P532" s="84">
        <v>100.0</v>
      </c>
      <c r="Q532" s="94">
        <v>28499.0</v>
      </c>
      <c r="R532" s="94">
        <v>6056.02</v>
      </c>
      <c r="S532" s="95" t="s">
        <v>3704</v>
      </c>
      <c r="T532" s="94">
        <v>6.0</v>
      </c>
      <c r="U532" s="96">
        <v>38657.0</v>
      </c>
      <c r="V532" s="97" t="s">
        <v>3705</v>
      </c>
      <c r="W532" s="97" t="s">
        <v>3706</v>
      </c>
      <c r="X532" s="79" t="s">
        <v>3707</v>
      </c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88"/>
      <c r="AL532" s="88"/>
      <c r="AM532" s="88"/>
      <c r="AN532" s="88"/>
      <c r="AO532" s="88"/>
      <c r="AP532" s="88"/>
      <c r="AQ532" s="88"/>
      <c r="AR532" s="88"/>
    </row>
    <row r="533" ht="19.5" customHeight="1">
      <c r="A533" s="79">
        <v>522.0</v>
      </c>
      <c r="B533" s="91" t="s">
        <v>34</v>
      </c>
      <c r="C533" s="91" t="s">
        <v>3708</v>
      </c>
      <c r="D533" s="91" t="s">
        <v>3709</v>
      </c>
      <c r="E533" s="92" t="s">
        <v>3710</v>
      </c>
      <c r="F533" s="91" t="s">
        <v>81</v>
      </c>
      <c r="G533" s="80" t="s">
        <v>42</v>
      </c>
      <c r="H533" s="80" t="s">
        <v>21</v>
      </c>
      <c r="I533" s="91" t="s">
        <v>3711</v>
      </c>
      <c r="J533" s="80" t="s">
        <v>45</v>
      </c>
      <c r="K533" s="91" t="s">
        <v>3712</v>
      </c>
      <c r="L533" s="82" t="s">
        <v>3713</v>
      </c>
      <c r="M533" s="83">
        <f t="shared" si="1"/>
        <v>305</v>
      </c>
      <c r="N533" s="84">
        <v>305.0</v>
      </c>
      <c r="O533" s="84">
        <v>0.0</v>
      </c>
      <c r="P533" s="84">
        <v>0.0</v>
      </c>
      <c r="Q533" s="94">
        <v>4958.0</v>
      </c>
      <c r="R533" s="94">
        <v>3995.0</v>
      </c>
      <c r="S533" s="95" t="s">
        <v>103</v>
      </c>
      <c r="T533" s="94">
        <v>1.0</v>
      </c>
      <c r="U533" s="96">
        <v>36465.0</v>
      </c>
      <c r="V533" s="97" t="s">
        <v>3714</v>
      </c>
      <c r="W533" s="97" t="s">
        <v>3715</v>
      </c>
      <c r="X533" s="79" t="s">
        <v>3716</v>
      </c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88"/>
      <c r="AL533" s="88"/>
      <c r="AM533" s="88"/>
      <c r="AN533" s="88"/>
      <c r="AO533" s="88"/>
      <c r="AP533" s="88"/>
      <c r="AQ533" s="88"/>
      <c r="AR533" s="88"/>
    </row>
    <row r="534" ht="19.5" customHeight="1">
      <c r="A534" s="79">
        <v>523.0</v>
      </c>
      <c r="B534" s="91" t="s">
        <v>34</v>
      </c>
      <c r="C534" s="91" t="s">
        <v>3708</v>
      </c>
      <c r="D534" s="91" t="s">
        <v>3717</v>
      </c>
      <c r="E534" s="92" t="s">
        <v>3718</v>
      </c>
      <c r="F534" s="91" t="s">
        <v>22</v>
      </c>
      <c r="G534" s="80" t="s">
        <v>46</v>
      </c>
      <c r="H534" s="80" t="s">
        <v>22</v>
      </c>
      <c r="I534" s="91" t="s">
        <v>3719</v>
      </c>
      <c r="J534" s="80" t="s">
        <v>43</v>
      </c>
      <c r="K534" s="91" t="s">
        <v>3720</v>
      </c>
      <c r="L534" s="82" t="s">
        <v>3721</v>
      </c>
      <c r="M534" s="83">
        <f t="shared" si="1"/>
        <v>395</v>
      </c>
      <c r="N534" s="84">
        <v>149.0</v>
      </c>
      <c r="O534" s="84">
        <v>153.0</v>
      </c>
      <c r="P534" s="84">
        <v>93.0</v>
      </c>
      <c r="Q534" s="94">
        <v>13798.0</v>
      </c>
      <c r="R534" s="94">
        <v>3422.0</v>
      </c>
      <c r="S534" s="95" t="s">
        <v>3722</v>
      </c>
      <c r="T534" s="94">
        <v>12.0</v>
      </c>
      <c r="U534" s="96">
        <v>40709.0</v>
      </c>
      <c r="V534" s="97" t="s">
        <v>3723</v>
      </c>
      <c r="W534" s="97" t="s">
        <v>3724</v>
      </c>
      <c r="X534" s="79" t="s">
        <v>3725</v>
      </c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88"/>
      <c r="AL534" s="88"/>
      <c r="AM534" s="88"/>
      <c r="AN534" s="88"/>
      <c r="AO534" s="88"/>
      <c r="AP534" s="88"/>
      <c r="AQ534" s="88"/>
      <c r="AR534" s="88"/>
    </row>
    <row r="535" ht="19.5" customHeight="1">
      <c r="A535" s="79">
        <v>524.0</v>
      </c>
      <c r="B535" s="80" t="s">
        <v>34</v>
      </c>
      <c r="C535" s="80" t="s">
        <v>3726</v>
      </c>
      <c r="D535" s="80" t="s">
        <v>3727</v>
      </c>
      <c r="E535" s="81" t="s">
        <v>3728</v>
      </c>
      <c r="F535" s="80" t="s">
        <v>81</v>
      </c>
      <c r="G535" s="80" t="s">
        <v>44</v>
      </c>
      <c r="H535" s="80" t="s">
        <v>21</v>
      </c>
      <c r="I535" s="80" t="s">
        <v>3729</v>
      </c>
      <c r="J535" s="80" t="s">
        <v>45</v>
      </c>
      <c r="K535" s="91" t="s">
        <v>3730</v>
      </c>
      <c r="L535" s="82" t="s">
        <v>3731</v>
      </c>
      <c r="M535" s="83">
        <f t="shared" si="1"/>
        <v>109</v>
      </c>
      <c r="N535" s="84">
        <v>109.0</v>
      </c>
      <c r="O535" s="84">
        <v>0.0</v>
      </c>
      <c r="P535" s="84">
        <v>0.0</v>
      </c>
      <c r="Q535" s="94">
        <v>1912.0</v>
      </c>
      <c r="R535" s="94">
        <v>1066.0</v>
      </c>
      <c r="S535" s="95" t="s">
        <v>3732</v>
      </c>
      <c r="T535" s="94">
        <v>1.0</v>
      </c>
      <c r="U535" s="96">
        <v>38416.0</v>
      </c>
      <c r="V535" s="97" t="s">
        <v>3733</v>
      </c>
      <c r="W535" s="97" t="s">
        <v>3734</v>
      </c>
      <c r="X535" s="79" t="s">
        <v>3735</v>
      </c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88"/>
      <c r="AL535" s="88"/>
      <c r="AM535" s="88"/>
      <c r="AN535" s="88"/>
      <c r="AO535" s="88"/>
      <c r="AP535" s="88"/>
      <c r="AQ535" s="88"/>
      <c r="AR535" s="88"/>
    </row>
    <row r="536" ht="19.5" customHeight="1">
      <c r="A536" s="79">
        <v>525.0</v>
      </c>
      <c r="B536" s="80" t="s">
        <v>34</v>
      </c>
      <c r="C536" s="80" t="s">
        <v>3726</v>
      </c>
      <c r="D536" s="80" t="s">
        <v>3736</v>
      </c>
      <c r="E536" s="81" t="s">
        <v>3737</v>
      </c>
      <c r="F536" s="80" t="s">
        <v>81</v>
      </c>
      <c r="G536" s="80" t="s">
        <v>44</v>
      </c>
      <c r="H536" s="80" t="s">
        <v>21</v>
      </c>
      <c r="I536" s="80" t="s">
        <v>3729</v>
      </c>
      <c r="J536" s="80" t="s">
        <v>45</v>
      </c>
      <c r="K536" s="91" t="s">
        <v>3730</v>
      </c>
      <c r="L536" s="82" t="s">
        <v>3738</v>
      </c>
      <c r="M536" s="83">
        <f t="shared" si="1"/>
        <v>101</v>
      </c>
      <c r="N536" s="84">
        <v>101.0</v>
      </c>
      <c r="O536" s="84">
        <v>0.0</v>
      </c>
      <c r="P536" s="84">
        <v>0.0</v>
      </c>
      <c r="Q536" s="94">
        <v>4054.0</v>
      </c>
      <c r="R536" s="94">
        <v>1498.61</v>
      </c>
      <c r="S536" s="95" t="s">
        <v>350</v>
      </c>
      <c r="T536" s="94">
        <v>1.0</v>
      </c>
      <c r="U536" s="96">
        <v>40078.0</v>
      </c>
      <c r="V536" s="97" t="s">
        <v>3739</v>
      </c>
      <c r="W536" s="97" t="s">
        <v>3740</v>
      </c>
      <c r="X536" s="79" t="s">
        <v>3741</v>
      </c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88"/>
      <c r="AL536" s="88"/>
      <c r="AM536" s="88"/>
      <c r="AN536" s="88"/>
      <c r="AO536" s="88"/>
      <c r="AP536" s="88"/>
      <c r="AQ536" s="88"/>
      <c r="AR536" s="88"/>
    </row>
    <row r="537" ht="19.5" customHeight="1">
      <c r="A537" s="79">
        <v>526.0</v>
      </c>
      <c r="B537" s="91" t="s">
        <v>34</v>
      </c>
      <c r="C537" s="91" t="s">
        <v>3726</v>
      </c>
      <c r="D537" s="91" t="s">
        <v>3742</v>
      </c>
      <c r="E537" s="92" t="s">
        <v>3743</v>
      </c>
      <c r="F537" s="91" t="s">
        <v>81</v>
      </c>
      <c r="G537" s="80" t="s">
        <v>44</v>
      </c>
      <c r="H537" s="80" t="s">
        <v>21</v>
      </c>
      <c r="I537" s="91" t="s">
        <v>3729</v>
      </c>
      <c r="J537" s="80" t="s">
        <v>45</v>
      </c>
      <c r="K537" s="91" t="s">
        <v>3730</v>
      </c>
      <c r="L537" s="93" t="s">
        <v>3744</v>
      </c>
      <c r="M537" s="83">
        <f t="shared" si="1"/>
        <v>108</v>
      </c>
      <c r="N537" s="84">
        <v>108.0</v>
      </c>
      <c r="O537" s="84">
        <v>0.0</v>
      </c>
      <c r="P537" s="84">
        <v>0.0</v>
      </c>
      <c r="Q537" s="94">
        <v>19348.8</v>
      </c>
      <c r="R537" s="94">
        <v>902.78</v>
      </c>
      <c r="S537" s="95" t="s">
        <v>314</v>
      </c>
      <c r="T537" s="94">
        <v>1.0</v>
      </c>
      <c r="U537" s="96">
        <v>44167.0</v>
      </c>
      <c r="V537" s="97" t="s">
        <v>3745</v>
      </c>
      <c r="W537" s="97" t="s">
        <v>3746</v>
      </c>
      <c r="X537" s="79" t="s">
        <v>3747</v>
      </c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88"/>
      <c r="AL537" s="88"/>
      <c r="AM537" s="88"/>
      <c r="AN537" s="88"/>
      <c r="AO537" s="88"/>
      <c r="AP537" s="88"/>
      <c r="AQ537" s="88"/>
      <c r="AR537" s="88"/>
    </row>
    <row r="538" ht="19.5" customHeight="1">
      <c r="A538" s="79">
        <v>527.0</v>
      </c>
      <c r="B538" s="91" t="s">
        <v>34</v>
      </c>
      <c r="C538" s="91" t="s">
        <v>3748</v>
      </c>
      <c r="D538" s="91" t="s">
        <v>931</v>
      </c>
      <c r="E538" s="92" t="s">
        <v>3749</v>
      </c>
      <c r="F538" s="91" t="s">
        <v>81</v>
      </c>
      <c r="G538" s="80" t="s">
        <v>44</v>
      </c>
      <c r="H538" s="80" t="s">
        <v>21</v>
      </c>
      <c r="I538" s="91" t="s">
        <v>3750</v>
      </c>
      <c r="J538" s="80" t="s">
        <v>45</v>
      </c>
      <c r="K538" s="91" t="s">
        <v>3751</v>
      </c>
      <c r="L538" s="82" t="s">
        <v>3752</v>
      </c>
      <c r="M538" s="83">
        <f t="shared" si="1"/>
        <v>211</v>
      </c>
      <c r="N538" s="84">
        <v>211.0</v>
      </c>
      <c r="O538" s="84">
        <v>0.0</v>
      </c>
      <c r="P538" s="84">
        <v>0.0</v>
      </c>
      <c r="Q538" s="94">
        <v>2780.0</v>
      </c>
      <c r="R538" s="94">
        <v>2297.0</v>
      </c>
      <c r="S538" s="95" t="s">
        <v>3753</v>
      </c>
      <c r="T538" s="94">
        <v>2.0</v>
      </c>
      <c r="U538" s="96">
        <v>38449.0</v>
      </c>
      <c r="V538" s="97" t="s">
        <v>3754</v>
      </c>
      <c r="W538" s="97" t="s">
        <v>3755</v>
      </c>
      <c r="X538" s="79" t="s">
        <v>3756</v>
      </c>
      <c r="Y538" s="88"/>
      <c r="Z538" s="88"/>
      <c r="AA538" s="88"/>
      <c r="AB538" s="88"/>
      <c r="AC538" s="88"/>
      <c r="AD538" s="88"/>
      <c r="AE538" s="88"/>
      <c r="AF538" s="88"/>
      <c r="AG538" s="88"/>
      <c r="AH538" s="88"/>
      <c r="AI538" s="88"/>
      <c r="AJ538" s="88"/>
      <c r="AK538" s="88"/>
      <c r="AL538" s="88"/>
      <c r="AM538" s="88"/>
      <c r="AN538" s="88"/>
      <c r="AO538" s="88"/>
      <c r="AP538" s="88"/>
      <c r="AQ538" s="88"/>
      <c r="AR538" s="88"/>
    </row>
    <row r="539" ht="19.5" customHeight="1">
      <c r="A539" s="79">
        <v>528.0</v>
      </c>
      <c r="B539" s="91" t="s">
        <v>34</v>
      </c>
      <c r="C539" s="91" t="s">
        <v>3748</v>
      </c>
      <c r="D539" s="91" t="s">
        <v>3757</v>
      </c>
      <c r="E539" s="92" t="s">
        <v>3758</v>
      </c>
      <c r="F539" s="91" t="s">
        <v>81</v>
      </c>
      <c r="G539" s="80" t="s">
        <v>42</v>
      </c>
      <c r="H539" s="80" t="s">
        <v>21</v>
      </c>
      <c r="I539" s="91" t="s">
        <v>3750</v>
      </c>
      <c r="J539" s="80" t="s">
        <v>47</v>
      </c>
      <c r="K539" s="91" t="s">
        <v>3759</v>
      </c>
      <c r="L539" s="82" t="s">
        <v>3760</v>
      </c>
      <c r="M539" s="83">
        <f t="shared" si="1"/>
        <v>373</v>
      </c>
      <c r="N539" s="84">
        <v>256.0</v>
      </c>
      <c r="O539" s="84">
        <v>117.0</v>
      </c>
      <c r="P539" s="84">
        <v>0.0</v>
      </c>
      <c r="Q539" s="94">
        <v>11315.0</v>
      </c>
      <c r="R539" s="94">
        <v>3803.0</v>
      </c>
      <c r="S539" s="95" t="s">
        <v>380</v>
      </c>
      <c r="T539" s="94">
        <v>1.0</v>
      </c>
      <c r="U539" s="96">
        <v>35969.0</v>
      </c>
      <c r="V539" s="97" t="s">
        <v>3761</v>
      </c>
      <c r="W539" s="97" t="s">
        <v>3762</v>
      </c>
      <c r="X539" s="79" t="s">
        <v>3763</v>
      </c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  <c r="AP539" s="88"/>
      <c r="AQ539" s="88"/>
      <c r="AR539" s="88"/>
    </row>
    <row r="540" ht="19.5" customHeight="1">
      <c r="A540" s="79">
        <v>529.0</v>
      </c>
      <c r="B540" s="91" t="s">
        <v>34</v>
      </c>
      <c r="C540" s="91" t="s">
        <v>3764</v>
      </c>
      <c r="D540" s="91" t="s">
        <v>3765</v>
      </c>
      <c r="E540" s="92" t="s">
        <v>3766</v>
      </c>
      <c r="F540" s="91" t="s">
        <v>687</v>
      </c>
      <c r="G540" s="80" t="s">
        <v>46</v>
      </c>
      <c r="H540" s="80" t="s">
        <v>21</v>
      </c>
      <c r="I540" s="91" t="s">
        <v>3767</v>
      </c>
      <c r="J540" s="80" t="s">
        <v>47</v>
      </c>
      <c r="K540" s="91" t="s">
        <v>3768</v>
      </c>
      <c r="L540" s="82" t="s">
        <v>3769</v>
      </c>
      <c r="M540" s="83">
        <f t="shared" si="1"/>
        <v>400</v>
      </c>
      <c r="N540" s="84">
        <v>0.0</v>
      </c>
      <c r="O540" s="84">
        <v>400.0</v>
      </c>
      <c r="P540" s="84">
        <v>0.0</v>
      </c>
      <c r="Q540" s="94">
        <v>19109.0</v>
      </c>
      <c r="R540" s="94">
        <v>6304.0</v>
      </c>
      <c r="S540" s="95">
        <v>2044.0</v>
      </c>
      <c r="T540" s="94">
        <v>2.0</v>
      </c>
      <c r="U540" s="96">
        <v>41668.0</v>
      </c>
      <c r="V540" s="97" t="s">
        <v>3770</v>
      </c>
      <c r="W540" s="97" t="s">
        <v>3771</v>
      </c>
      <c r="X540" s="79" t="s">
        <v>3772</v>
      </c>
      <c r="Y540" s="104"/>
      <c r="Z540" s="104"/>
      <c r="AA540" s="104"/>
      <c r="AB540" s="104"/>
      <c r="AC540" s="104"/>
      <c r="AD540" s="104"/>
      <c r="AE540" s="104"/>
      <c r="AF540" s="104"/>
      <c r="AG540" s="104"/>
      <c r="AH540" s="104"/>
      <c r="AI540" s="104"/>
      <c r="AJ540" s="104"/>
      <c r="AK540" s="104"/>
      <c r="AL540" s="104"/>
      <c r="AM540" s="104"/>
      <c r="AN540" s="104"/>
      <c r="AO540" s="104"/>
      <c r="AP540" s="104"/>
      <c r="AQ540" s="104"/>
      <c r="AR540" s="104"/>
    </row>
    <row r="541" ht="19.5" customHeight="1">
      <c r="A541" s="79">
        <v>530.0</v>
      </c>
      <c r="B541" s="91" t="s">
        <v>34</v>
      </c>
      <c r="C541" s="91" t="s">
        <v>3764</v>
      </c>
      <c r="D541" s="91" t="s">
        <v>3773</v>
      </c>
      <c r="E541" s="92" t="s">
        <v>3774</v>
      </c>
      <c r="F541" s="91" t="s">
        <v>687</v>
      </c>
      <c r="G541" s="80" t="s">
        <v>12</v>
      </c>
      <c r="H541" s="80" t="s">
        <v>21</v>
      </c>
      <c r="I541" s="91" t="s">
        <v>3767</v>
      </c>
      <c r="J541" s="80" t="s">
        <v>47</v>
      </c>
      <c r="K541" s="91" t="s">
        <v>3768</v>
      </c>
      <c r="L541" s="82" t="s">
        <v>3775</v>
      </c>
      <c r="M541" s="83">
        <f t="shared" si="1"/>
        <v>280</v>
      </c>
      <c r="N541" s="84">
        <v>0.0</v>
      </c>
      <c r="O541" s="84">
        <v>280.0</v>
      </c>
      <c r="P541" s="84">
        <v>0.0</v>
      </c>
      <c r="Q541" s="94">
        <v>11444.0</v>
      </c>
      <c r="R541" s="94">
        <v>4749.0</v>
      </c>
      <c r="S541" s="95">
        <v>3597.0</v>
      </c>
      <c r="T541" s="94">
        <v>3.0</v>
      </c>
      <c r="U541" s="96">
        <v>42244.0</v>
      </c>
      <c r="V541" s="97" t="s">
        <v>3776</v>
      </c>
      <c r="W541" s="97" t="s">
        <v>3777</v>
      </c>
      <c r="X541" s="79" t="s">
        <v>3778</v>
      </c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  <c r="AP541" s="88"/>
      <c r="AQ541" s="88"/>
      <c r="AR541" s="88"/>
    </row>
    <row r="542" ht="19.5" customHeight="1">
      <c r="A542" s="79">
        <v>531.0</v>
      </c>
      <c r="B542" s="91" t="s">
        <v>34</v>
      </c>
      <c r="C542" s="91" t="s">
        <v>3764</v>
      </c>
      <c r="D542" s="91" t="s">
        <v>3773</v>
      </c>
      <c r="E542" s="92" t="s">
        <v>3779</v>
      </c>
      <c r="F542" s="91" t="s">
        <v>687</v>
      </c>
      <c r="G542" s="80" t="s">
        <v>44</v>
      </c>
      <c r="H542" s="80" t="s">
        <v>21</v>
      </c>
      <c r="I542" s="91" t="s">
        <v>3767</v>
      </c>
      <c r="J542" s="80" t="s">
        <v>47</v>
      </c>
      <c r="K542" s="91" t="s">
        <v>3768</v>
      </c>
      <c r="L542" s="82" t="s">
        <v>3775</v>
      </c>
      <c r="M542" s="83">
        <f t="shared" si="1"/>
        <v>70</v>
      </c>
      <c r="N542" s="84">
        <v>70.0</v>
      </c>
      <c r="O542" s="84">
        <v>0.0</v>
      </c>
      <c r="P542" s="84">
        <v>0.0</v>
      </c>
      <c r="Q542" s="94">
        <v>13004.0</v>
      </c>
      <c r="R542" s="94">
        <v>685.0</v>
      </c>
      <c r="S542" s="95" t="s">
        <v>350</v>
      </c>
      <c r="T542" s="94">
        <v>1.0</v>
      </c>
      <c r="U542" s="96">
        <v>36238.0</v>
      </c>
      <c r="V542" s="97" t="s">
        <v>3780</v>
      </c>
      <c r="W542" s="97" t="s">
        <v>3781</v>
      </c>
      <c r="X542" s="79" t="s">
        <v>3782</v>
      </c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  <c r="AP542" s="88"/>
      <c r="AQ542" s="88"/>
      <c r="AR542" s="88"/>
    </row>
    <row r="543" ht="19.5" customHeight="1">
      <c r="A543" s="79">
        <v>532.0</v>
      </c>
      <c r="B543" s="80" t="s">
        <v>34</v>
      </c>
      <c r="C543" s="80" t="s">
        <v>3764</v>
      </c>
      <c r="D543" s="80" t="s">
        <v>3783</v>
      </c>
      <c r="E543" s="81" t="s">
        <v>3784</v>
      </c>
      <c r="F543" s="80" t="s">
        <v>22</v>
      </c>
      <c r="G543" s="80" t="s">
        <v>12</v>
      </c>
      <c r="H543" s="80" t="s">
        <v>22</v>
      </c>
      <c r="I543" s="80" t="s">
        <v>3785</v>
      </c>
      <c r="J543" s="80" t="s">
        <v>43</v>
      </c>
      <c r="K543" s="80"/>
      <c r="L543" s="81" t="s">
        <v>3786</v>
      </c>
      <c r="M543" s="83">
        <f t="shared" si="1"/>
        <v>180</v>
      </c>
      <c r="N543" s="84">
        <v>0.0</v>
      </c>
      <c r="O543" s="84">
        <v>180.0</v>
      </c>
      <c r="P543" s="84">
        <v>0.0</v>
      </c>
      <c r="Q543" s="94">
        <v>9950.0</v>
      </c>
      <c r="R543" s="94">
        <v>1467.0</v>
      </c>
      <c r="S543" s="95" t="s">
        <v>350</v>
      </c>
      <c r="T543" s="94">
        <v>4.0</v>
      </c>
      <c r="U543" s="96">
        <v>37786.0</v>
      </c>
      <c r="V543" s="97" t="s">
        <v>3787</v>
      </c>
      <c r="W543" s="97" t="s">
        <v>3788</v>
      </c>
      <c r="X543" s="79" t="s">
        <v>3789</v>
      </c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  <c r="AP543" s="88"/>
      <c r="AQ543" s="88"/>
      <c r="AR543" s="88"/>
    </row>
    <row r="544" ht="19.5" customHeight="1">
      <c r="A544" s="79">
        <v>533.0</v>
      </c>
      <c r="B544" s="80" t="s">
        <v>34</v>
      </c>
      <c r="C544" s="80" t="s">
        <v>3790</v>
      </c>
      <c r="D544" s="80" t="s">
        <v>3791</v>
      </c>
      <c r="E544" s="81" t="s">
        <v>3792</v>
      </c>
      <c r="F544" s="80" t="s">
        <v>81</v>
      </c>
      <c r="G544" s="80" t="s">
        <v>42</v>
      </c>
      <c r="H544" s="80" t="s">
        <v>21</v>
      </c>
      <c r="I544" s="80" t="s">
        <v>3793</v>
      </c>
      <c r="J544" s="80" t="s">
        <v>45</v>
      </c>
      <c r="K544" s="80" t="s">
        <v>3794</v>
      </c>
      <c r="L544" s="131" t="s">
        <v>3795</v>
      </c>
      <c r="M544" s="83">
        <f t="shared" si="1"/>
        <v>300</v>
      </c>
      <c r="N544" s="84">
        <v>300.0</v>
      </c>
      <c r="O544" s="84"/>
      <c r="P544" s="84"/>
      <c r="Q544" s="94">
        <v>12309.0</v>
      </c>
      <c r="R544" s="94">
        <v>4014.0</v>
      </c>
      <c r="S544" s="95" t="s">
        <v>314</v>
      </c>
      <c r="T544" s="94">
        <v>1.0</v>
      </c>
      <c r="U544" s="96">
        <v>41344.0</v>
      </c>
      <c r="V544" s="97" t="s">
        <v>3796</v>
      </c>
      <c r="W544" s="97" t="s">
        <v>3797</v>
      </c>
      <c r="X544" s="79" t="s">
        <v>3798</v>
      </c>
      <c r="Y544" s="104"/>
      <c r="Z544" s="104"/>
      <c r="AA544" s="104"/>
      <c r="AB544" s="104"/>
      <c r="AC544" s="104"/>
      <c r="AD544" s="104"/>
      <c r="AE544" s="104"/>
      <c r="AF544" s="104"/>
      <c r="AG544" s="104"/>
      <c r="AH544" s="104"/>
      <c r="AI544" s="104"/>
      <c r="AJ544" s="104"/>
      <c r="AK544" s="104"/>
      <c r="AL544" s="104"/>
      <c r="AM544" s="104"/>
      <c r="AN544" s="104"/>
      <c r="AO544" s="104"/>
      <c r="AP544" s="104"/>
      <c r="AQ544" s="104"/>
      <c r="AR544" s="104"/>
    </row>
    <row r="545" ht="19.5" customHeight="1">
      <c r="A545" s="79">
        <v>534.0</v>
      </c>
      <c r="B545" s="95" t="s">
        <v>34</v>
      </c>
      <c r="C545" s="95" t="s">
        <v>3790</v>
      </c>
      <c r="D545" s="95" t="s">
        <v>3799</v>
      </c>
      <c r="E545" s="100" t="s">
        <v>3800</v>
      </c>
      <c r="F545" s="95" t="s">
        <v>81</v>
      </c>
      <c r="G545" s="80" t="s">
        <v>44</v>
      </c>
      <c r="H545" s="80" t="s">
        <v>21</v>
      </c>
      <c r="I545" s="95" t="s">
        <v>3793</v>
      </c>
      <c r="J545" s="80" t="s">
        <v>45</v>
      </c>
      <c r="K545" s="80" t="s">
        <v>3794</v>
      </c>
      <c r="L545" s="127" t="s">
        <v>3801</v>
      </c>
      <c r="M545" s="83">
        <f t="shared" si="1"/>
        <v>120</v>
      </c>
      <c r="N545" s="84">
        <v>120.0</v>
      </c>
      <c r="O545" s="84"/>
      <c r="P545" s="84"/>
      <c r="Q545" s="94">
        <v>1626.0</v>
      </c>
      <c r="R545" s="94">
        <v>1122.0</v>
      </c>
      <c r="S545" s="95" t="s">
        <v>217</v>
      </c>
      <c r="T545" s="94">
        <v>1.0</v>
      </c>
      <c r="U545" s="96">
        <v>38808.0</v>
      </c>
      <c r="V545" s="97" t="s">
        <v>3802</v>
      </c>
      <c r="W545" s="97" t="s">
        <v>3803</v>
      </c>
      <c r="X545" s="79" t="s">
        <v>3804</v>
      </c>
      <c r="Y545" s="104"/>
      <c r="Z545" s="104"/>
      <c r="AA545" s="104"/>
      <c r="AB545" s="104"/>
      <c r="AC545" s="104"/>
      <c r="AD545" s="104"/>
      <c r="AE545" s="104"/>
      <c r="AF545" s="104"/>
      <c r="AG545" s="104"/>
      <c r="AH545" s="104"/>
      <c r="AI545" s="104"/>
      <c r="AJ545" s="104"/>
      <c r="AK545" s="104"/>
      <c r="AL545" s="104"/>
      <c r="AM545" s="104"/>
      <c r="AN545" s="104"/>
      <c r="AO545" s="104"/>
      <c r="AP545" s="104"/>
      <c r="AQ545" s="104"/>
      <c r="AR545" s="104"/>
    </row>
    <row r="546" ht="19.5" customHeight="1">
      <c r="A546" s="79">
        <v>535.0</v>
      </c>
      <c r="B546" s="80" t="s">
        <v>34</v>
      </c>
      <c r="C546" s="80" t="s">
        <v>3790</v>
      </c>
      <c r="D546" s="80" t="s">
        <v>3805</v>
      </c>
      <c r="E546" s="81" t="s">
        <v>3806</v>
      </c>
      <c r="F546" s="80" t="s">
        <v>22</v>
      </c>
      <c r="G546" s="80" t="s">
        <v>46</v>
      </c>
      <c r="H546" s="80" t="s">
        <v>22</v>
      </c>
      <c r="I546" s="80" t="s">
        <v>3807</v>
      </c>
      <c r="J546" s="80" t="s">
        <v>43</v>
      </c>
      <c r="K546" s="80" t="s">
        <v>3808</v>
      </c>
      <c r="L546" s="131" t="s">
        <v>3809</v>
      </c>
      <c r="M546" s="83">
        <f t="shared" si="1"/>
        <v>498</v>
      </c>
      <c r="N546" s="84"/>
      <c r="O546" s="84">
        <v>430.0</v>
      </c>
      <c r="P546" s="84">
        <v>68.0</v>
      </c>
      <c r="Q546" s="94">
        <v>42671.0</v>
      </c>
      <c r="R546" s="94">
        <v>6657.0</v>
      </c>
      <c r="S546" s="95" t="s">
        <v>194</v>
      </c>
      <c r="T546" s="94">
        <v>7.0</v>
      </c>
      <c r="U546" s="96">
        <v>39065.0</v>
      </c>
      <c r="V546" s="97" t="s">
        <v>3810</v>
      </c>
      <c r="W546" s="97" t="s">
        <v>3811</v>
      </c>
      <c r="X546" s="79" t="s">
        <v>3812</v>
      </c>
      <c r="Y546" s="104"/>
      <c r="Z546" s="104"/>
      <c r="AA546" s="104"/>
      <c r="AB546" s="104"/>
      <c r="AC546" s="104"/>
      <c r="AD546" s="104"/>
      <c r="AE546" s="104"/>
      <c r="AF546" s="104"/>
      <c r="AG546" s="104"/>
      <c r="AH546" s="104"/>
      <c r="AI546" s="104"/>
      <c r="AJ546" s="104"/>
      <c r="AK546" s="104"/>
      <c r="AL546" s="104"/>
      <c r="AM546" s="104"/>
      <c r="AN546" s="104"/>
      <c r="AO546" s="104"/>
      <c r="AP546" s="104"/>
      <c r="AQ546" s="104"/>
      <c r="AR546" s="104"/>
    </row>
    <row r="547" ht="19.5" customHeight="1">
      <c r="A547" s="79">
        <v>536.0</v>
      </c>
      <c r="B547" s="80" t="s">
        <v>34</v>
      </c>
      <c r="C547" s="80" t="s">
        <v>3790</v>
      </c>
      <c r="D547" s="80" t="s">
        <v>3813</v>
      </c>
      <c r="E547" s="81" t="s">
        <v>3814</v>
      </c>
      <c r="F547" s="80" t="s">
        <v>22</v>
      </c>
      <c r="G547" s="80" t="s">
        <v>46</v>
      </c>
      <c r="H547" s="80" t="s">
        <v>22</v>
      </c>
      <c r="I547" s="80" t="s">
        <v>3815</v>
      </c>
      <c r="J547" s="80" t="s">
        <v>43</v>
      </c>
      <c r="K547" s="80" t="s">
        <v>3816</v>
      </c>
      <c r="L547" s="131" t="s">
        <v>3817</v>
      </c>
      <c r="M547" s="83">
        <f t="shared" si="1"/>
        <v>143</v>
      </c>
      <c r="N547" s="84"/>
      <c r="O547" s="84">
        <v>143.0</v>
      </c>
      <c r="P547" s="84"/>
      <c r="Q547" s="94">
        <v>14580.0</v>
      </c>
      <c r="R547" s="94">
        <v>1294.0</v>
      </c>
      <c r="S547" s="95" t="s">
        <v>350</v>
      </c>
      <c r="T547" s="94">
        <v>6.0</v>
      </c>
      <c r="U547" s="96">
        <v>38222.0</v>
      </c>
      <c r="V547" s="97" t="s">
        <v>3818</v>
      </c>
      <c r="W547" s="97" t="s">
        <v>3819</v>
      </c>
      <c r="X547" s="79" t="s">
        <v>3820</v>
      </c>
      <c r="Y547" s="104"/>
      <c r="Z547" s="104"/>
      <c r="AA547" s="104"/>
      <c r="AB547" s="104"/>
      <c r="AC547" s="104"/>
      <c r="AD547" s="104"/>
      <c r="AE547" s="104"/>
      <c r="AF547" s="104"/>
      <c r="AG547" s="104"/>
      <c r="AH547" s="104"/>
      <c r="AI547" s="104"/>
      <c r="AJ547" s="104"/>
      <c r="AK547" s="104"/>
      <c r="AL547" s="104"/>
      <c r="AM547" s="104"/>
      <c r="AN547" s="104"/>
      <c r="AO547" s="104"/>
      <c r="AP547" s="104"/>
      <c r="AQ547" s="104"/>
      <c r="AR547" s="104"/>
    </row>
    <row r="548" ht="19.5" customHeight="1">
      <c r="A548" s="79">
        <v>537.0</v>
      </c>
      <c r="B548" s="91" t="s">
        <v>34</v>
      </c>
      <c r="C548" s="91" t="s">
        <v>3790</v>
      </c>
      <c r="D548" s="91" t="s">
        <v>3799</v>
      </c>
      <c r="E548" s="92" t="s">
        <v>3821</v>
      </c>
      <c r="F548" s="91" t="s">
        <v>81</v>
      </c>
      <c r="G548" s="80" t="s">
        <v>46</v>
      </c>
      <c r="H548" s="80" t="s">
        <v>21</v>
      </c>
      <c r="I548" s="91" t="s">
        <v>3793</v>
      </c>
      <c r="J548" s="80" t="s">
        <v>45</v>
      </c>
      <c r="K548" s="80" t="s">
        <v>1336</v>
      </c>
      <c r="L548" s="93" t="s">
        <v>3822</v>
      </c>
      <c r="M548" s="83">
        <f t="shared" si="1"/>
        <v>193</v>
      </c>
      <c r="N548" s="84">
        <v>100.0</v>
      </c>
      <c r="O548" s="84">
        <v>93.0</v>
      </c>
      <c r="P548" s="84">
        <v>0.0</v>
      </c>
      <c r="Q548" s="94">
        <v>24566.0</v>
      </c>
      <c r="R548" s="94">
        <v>3723.58</v>
      </c>
      <c r="S548" s="95" t="s">
        <v>291</v>
      </c>
      <c r="T548" s="94">
        <v>2.0</v>
      </c>
      <c r="U548" s="96">
        <v>44999.0</v>
      </c>
      <c r="V548" s="97" t="s">
        <v>3823</v>
      </c>
      <c r="W548" s="97" t="s">
        <v>40</v>
      </c>
      <c r="X548" s="79" t="s">
        <v>3824</v>
      </c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  <c r="AP548" s="88"/>
      <c r="AQ548" s="88"/>
      <c r="AR548" s="88"/>
    </row>
    <row r="549" ht="19.5" customHeight="1">
      <c r="A549" s="79">
        <v>538.0</v>
      </c>
      <c r="B549" s="91" t="s">
        <v>34</v>
      </c>
      <c r="C549" s="91" t="s">
        <v>3790</v>
      </c>
      <c r="D549" s="91" t="s">
        <v>3825</v>
      </c>
      <c r="E549" s="92" t="s">
        <v>3826</v>
      </c>
      <c r="F549" s="91" t="s">
        <v>81</v>
      </c>
      <c r="G549" s="80" t="s">
        <v>44</v>
      </c>
      <c r="H549" s="80" t="s">
        <v>21</v>
      </c>
      <c r="I549" s="91" t="s">
        <v>3793</v>
      </c>
      <c r="J549" s="80" t="s">
        <v>45</v>
      </c>
      <c r="K549" s="80" t="s">
        <v>3794</v>
      </c>
      <c r="L549" s="93" t="s">
        <v>3827</v>
      </c>
      <c r="M549" s="83">
        <f t="shared" si="1"/>
        <v>168</v>
      </c>
      <c r="N549" s="84">
        <v>168.0</v>
      </c>
      <c r="O549" s="84"/>
      <c r="P549" s="84"/>
      <c r="Q549" s="94">
        <v>3846.7</v>
      </c>
      <c r="R549" s="94">
        <v>1576.37</v>
      </c>
      <c r="S549" s="95" t="s">
        <v>314</v>
      </c>
      <c r="T549" s="94">
        <v>1.0</v>
      </c>
      <c r="U549" s="96">
        <v>45504.0</v>
      </c>
      <c r="V549" s="97" t="s">
        <v>3828</v>
      </c>
      <c r="W549" s="97" t="s">
        <v>3829</v>
      </c>
      <c r="X549" s="79" t="s">
        <v>3830</v>
      </c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  <c r="AP549" s="88"/>
      <c r="AQ549" s="88"/>
      <c r="AR549" s="88"/>
    </row>
    <row r="550" ht="19.5" customHeight="1">
      <c r="A550" s="79">
        <v>539.0</v>
      </c>
      <c r="B550" s="95" t="s">
        <v>34</v>
      </c>
      <c r="C550" s="95" t="s">
        <v>3831</v>
      </c>
      <c r="D550" s="95" t="s">
        <v>3832</v>
      </c>
      <c r="E550" s="100" t="s">
        <v>3833</v>
      </c>
      <c r="F550" s="95" t="s">
        <v>687</v>
      </c>
      <c r="G550" s="80" t="s">
        <v>44</v>
      </c>
      <c r="H550" s="80" t="s">
        <v>21</v>
      </c>
      <c r="I550" s="95" t="s">
        <v>3834</v>
      </c>
      <c r="J550" s="80" t="s">
        <v>45</v>
      </c>
      <c r="K550" s="95" t="s">
        <v>3835</v>
      </c>
      <c r="L550" s="127" t="s">
        <v>3836</v>
      </c>
      <c r="M550" s="83">
        <f t="shared" si="1"/>
        <v>250</v>
      </c>
      <c r="N550" s="84">
        <v>250.0</v>
      </c>
      <c r="O550" s="84">
        <v>0.0</v>
      </c>
      <c r="P550" s="84">
        <v>0.0</v>
      </c>
      <c r="Q550" s="94">
        <v>585.35</v>
      </c>
      <c r="R550" s="94">
        <v>1574.63</v>
      </c>
      <c r="S550" s="95" t="s">
        <v>217</v>
      </c>
      <c r="T550" s="94">
        <v>1.0</v>
      </c>
      <c r="U550" s="96">
        <v>40876.0</v>
      </c>
      <c r="V550" s="97" t="s">
        <v>3837</v>
      </c>
      <c r="W550" s="97" t="s">
        <v>3838</v>
      </c>
      <c r="X550" s="79" t="s">
        <v>3839</v>
      </c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  <c r="AQ550" s="88"/>
      <c r="AR550" s="88"/>
    </row>
    <row r="551" ht="19.5" customHeight="1">
      <c r="A551" s="79">
        <v>540.0</v>
      </c>
      <c r="B551" s="95" t="s">
        <v>34</v>
      </c>
      <c r="C551" s="95" t="s">
        <v>3831</v>
      </c>
      <c r="D551" s="95" t="s">
        <v>3840</v>
      </c>
      <c r="E551" s="100" t="s">
        <v>3841</v>
      </c>
      <c r="F551" s="95" t="s">
        <v>22</v>
      </c>
      <c r="G551" s="80" t="s">
        <v>12</v>
      </c>
      <c r="H551" s="80" t="s">
        <v>22</v>
      </c>
      <c r="I551" s="95" t="s">
        <v>3842</v>
      </c>
      <c r="J551" s="80" t="s">
        <v>43</v>
      </c>
      <c r="K551" s="95" t="s">
        <v>3843</v>
      </c>
      <c r="L551" s="127" t="s">
        <v>3844</v>
      </c>
      <c r="M551" s="83">
        <f t="shared" si="1"/>
        <v>333</v>
      </c>
      <c r="N551" s="84"/>
      <c r="O551" s="84">
        <v>333.0</v>
      </c>
      <c r="P551" s="84"/>
      <c r="Q551" s="94">
        <v>6268.0</v>
      </c>
      <c r="R551" s="94">
        <v>2465.0</v>
      </c>
      <c r="S551" s="95" t="s">
        <v>314</v>
      </c>
      <c r="T551" s="94">
        <v>5.0</v>
      </c>
      <c r="U551" s="96">
        <v>41808.0</v>
      </c>
      <c r="V551" s="97" t="s">
        <v>3845</v>
      </c>
      <c r="W551" s="97" t="s">
        <v>3846</v>
      </c>
      <c r="X551" s="79" t="s">
        <v>3847</v>
      </c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  <c r="AQ551" s="88"/>
      <c r="AR551" s="88"/>
    </row>
    <row r="552" ht="19.5" customHeight="1">
      <c r="A552" s="79">
        <v>541.0</v>
      </c>
      <c r="B552" s="95" t="s">
        <v>34</v>
      </c>
      <c r="C552" s="95" t="s">
        <v>3831</v>
      </c>
      <c r="D552" s="95" t="s">
        <v>3840</v>
      </c>
      <c r="E552" s="100" t="s">
        <v>3848</v>
      </c>
      <c r="F552" s="95" t="s">
        <v>687</v>
      </c>
      <c r="G552" s="80" t="s">
        <v>42</v>
      </c>
      <c r="H552" s="80" t="s">
        <v>21</v>
      </c>
      <c r="I552" s="95" t="s">
        <v>3834</v>
      </c>
      <c r="J552" s="80" t="s">
        <v>45</v>
      </c>
      <c r="K552" s="95" t="s">
        <v>3843</v>
      </c>
      <c r="L552" s="127" t="s">
        <v>3849</v>
      </c>
      <c r="M552" s="83">
        <f t="shared" si="1"/>
        <v>300</v>
      </c>
      <c r="N552" s="84">
        <v>300.0</v>
      </c>
      <c r="O552" s="84"/>
      <c r="P552" s="84"/>
      <c r="Q552" s="94">
        <v>12363.0</v>
      </c>
      <c r="R552" s="94">
        <v>2870.0</v>
      </c>
      <c r="S552" s="95" t="s">
        <v>3091</v>
      </c>
      <c r="T552" s="94">
        <v>1.0</v>
      </c>
      <c r="U552" s="96">
        <v>41848.0</v>
      </c>
      <c r="V552" s="97" t="s">
        <v>3850</v>
      </c>
      <c r="W552" s="97" t="s">
        <v>3851</v>
      </c>
      <c r="X552" s="79" t="s">
        <v>3852</v>
      </c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  <c r="AQ552" s="88"/>
      <c r="AR552" s="88"/>
    </row>
    <row r="553" ht="19.5" customHeight="1">
      <c r="A553" s="79">
        <v>542.0</v>
      </c>
      <c r="B553" s="95" t="s">
        <v>34</v>
      </c>
      <c r="C553" s="95" t="s">
        <v>3853</v>
      </c>
      <c r="D553" s="95" t="s">
        <v>3854</v>
      </c>
      <c r="E553" s="100" t="s">
        <v>3855</v>
      </c>
      <c r="F553" s="95" t="s">
        <v>81</v>
      </c>
      <c r="G553" s="80" t="s">
        <v>42</v>
      </c>
      <c r="H553" s="80" t="s">
        <v>21</v>
      </c>
      <c r="I553" s="95" t="s">
        <v>3856</v>
      </c>
      <c r="J553" s="80" t="s">
        <v>45</v>
      </c>
      <c r="K553" s="95" t="s">
        <v>3857</v>
      </c>
      <c r="L553" s="127" t="s">
        <v>3858</v>
      </c>
      <c r="M553" s="83">
        <f t="shared" si="1"/>
        <v>403</v>
      </c>
      <c r="N553" s="84">
        <v>403.0</v>
      </c>
      <c r="O553" s="84">
        <v>0.0</v>
      </c>
      <c r="P553" s="84">
        <v>0.0</v>
      </c>
      <c r="Q553" s="94">
        <v>71952.0</v>
      </c>
      <c r="R553" s="94">
        <v>7251.99</v>
      </c>
      <c r="S553" s="95" t="s">
        <v>3859</v>
      </c>
      <c r="T553" s="94">
        <v>2.0</v>
      </c>
      <c r="U553" s="96">
        <v>40354.0</v>
      </c>
      <c r="V553" s="97" t="s">
        <v>3860</v>
      </c>
      <c r="W553" s="97" t="s">
        <v>3861</v>
      </c>
      <c r="X553" s="79" t="s">
        <v>3862</v>
      </c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  <c r="AP553" s="88"/>
      <c r="AQ553" s="88"/>
      <c r="AR553" s="88"/>
    </row>
    <row r="554" ht="19.5" customHeight="1">
      <c r="A554" s="79">
        <v>543.0</v>
      </c>
      <c r="B554" s="95" t="s">
        <v>34</v>
      </c>
      <c r="C554" s="95" t="s">
        <v>3853</v>
      </c>
      <c r="D554" s="95" t="s">
        <v>3863</v>
      </c>
      <c r="E554" s="100" t="s">
        <v>3864</v>
      </c>
      <c r="F554" s="95" t="s">
        <v>81</v>
      </c>
      <c r="G554" s="80" t="s">
        <v>44</v>
      </c>
      <c r="H554" s="80" t="s">
        <v>21</v>
      </c>
      <c r="I554" s="95" t="s">
        <v>3856</v>
      </c>
      <c r="J554" s="80" t="s">
        <v>45</v>
      </c>
      <c r="K554" s="95" t="s">
        <v>3857</v>
      </c>
      <c r="L554" s="127" t="s">
        <v>3865</v>
      </c>
      <c r="M554" s="83">
        <f t="shared" si="1"/>
        <v>300</v>
      </c>
      <c r="N554" s="84">
        <v>300.0</v>
      </c>
      <c r="O554" s="84">
        <v>0.0</v>
      </c>
      <c r="P554" s="84">
        <v>0.0</v>
      </c>
      <c r="Q554" s="94">
        <v>136961.0</v>
      </c>
      <c r="R554" s="94">
        <v>3069.0</v>
      </c>
      <c r="S554" s="95" t="s">
        <v>3866</v>
      </c>
      <c r="T554" s="94">
        <v>1.0</v>
      </c>
      <c r="U554" s="96">
        <v>43783.0</v>
      </c>
      <c r="V554" s="97" t="s">
        <v>3867</v>
      </c>
      <c r="W554" s="97" t="s">
        <v>3868</v>
      </c>
      <c r="X554" s="79" t="s">
        <v>3869</v>
      </c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  <c r="AP554" s="88"/>
      <c r="AQ554" s="88"/>
      <c r="AR554" s="88"/>
    </row>
    <row r="555" ht="19.5" customHeight="1">
      <c r="A555" s="79">
        <v>544.0</v>
      </c>
      <c r="B555" s="80" t="s">
        <v>34</v>
      </c>
      <c r="C555" s="80" t="s">
        <v>3870</v>
      </c>
      <c r="D555" s="80" t="s">
        <v>3871</v>
      </c>
      <c r="E555" s="81" t="s">
        <v>3872</v>
      </c>
      <c r="F555" s="80" t="s">
        <v>687</v>
      </c>
      <c r="G555" s="80" t="s">
        <v>42</v>
      </c>
      <c r="H555" s="80" t="s">
        <v>21</v>
      </c>
      <c r="I555" s="80" t="s">
        <v>3873</v>
      </c>
      <c r="J555" s="80" t="s">
        <v>47</v>
      </c>
      <c r="K555" s="91" t="s">
        <v>3874</v>
      </c>
      <c r="L555" s="82" t="s">
        <v>3875</v>
      </c>
      <c r="M555" s="83">
        <f t="shared" si="1"/>
        <v>270</v>
      </c>
      <c r="N555" s="84">
        <v>270.0</v>
      </c>
      <c r="O555" s="84">
        <v>0.0</v>
      </c>
      <c r="P555" s="84">
        <v>0.0</v>
      </c>
      <c r="Q555" s="94">
        <v>89192.0</v>
      </c>
      <c r="R555" s="94">
        <v>3005.0</v>
      </c>
      <c r="S555" s="95" t="s">
        <v>3876</v>
      </c>
      <c r="T555" s="94">
        <v>1.0</v>
      </c>
      <c r="U555" s="96">
        <v>41635.0</v>
      </c>
      <c r="V555" s="97" t="s">
        <v>3877</v>
      </c>
      <c r="W555" s="97" t="s">
        <v>3878</v>
      </c>
      <c r="X555" s="79" t="s">
        <v>3879</v>
      </c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  <c r="AP555" s="88"/>
      <c r="AQ555" s="88"/>
      <c r="AR555" s="88"/>
    </row>
    <row r="556" ht="19.5" customHeight="1">
      <c r="A556" s="79">
        <v>545.0</v>
      </c>
      <c r="B556" s="80" t="s">
        <v>34</v>
      </c>
      <c r="C556" s="80" t="s">
        <v>3870</v>
      </c>
      <c r="D556" s="80" t="s">
        <v>3880</v>
      </c>
      <c r="E556" s="81" t="s">
        <v>3881</v>
      </c>
      <c r="F556" s="80" t="s">
        <v>687</v>
      </c>
      <c r="G556" s="80" t="s">
        <v>44</v>
      </c>
      <c r="H556" s="80" t="s">
        <v>21</v>
      </c>
      <c r="I556" s="80" t="s">
        <v>3873</v>
      </c>
      <c r="J556" s="80" t="s">
        <v>47</v>
      </c>
      <c r="K556" s="91" t="s">
        <v>3874</v>
      </c>
      <c r="L556" s="82" t="s">
        <v>3882</v>
      </c>
      <c r="M556" s="83">
        <f t="shared" si="1"/>
        <v>50</v>
      </c>
      <c r="N556" s="84">
        <v>50.0</v>
      </c>
      <c r="O556" s="84">
        <v>0.0</v>
      </c>
      <c r="P556" s="84">
        <v>0.0</v>
      </c>
      <c r="Q556" s="94">
        <v>2148.0</v>
      </c>
      <c r="R556" s="94">
        <v>461.0</v>
      </c>
      <c r="S556" s="95" t="s">
        <v>704</v>
      </c>
      <c r="T556" s="94">
        <v>1.0</v>
      </c>
      <c r="U556" s="96">
        <v>42671.0</v>
      </c>
      <c r="V556" s="97" t="s">
        <v>3883</v>
      </c>
      <c r="W556" s="97" t="s">
        <v>3884</v>
      </c>
      <c r="X556" s="79" t="s">
        <v>3879</v>
      </c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  <c r="AP556" s="88"/>
      <c r="AQ556" s="88"/>
      <c r="AR556" s="88"/>
    </row>
    <row r="557" ht="19.5" customHeight="1">
      <c r="A557" s="79">
        <v>546.0</v>
      </c>
      <c r="B557" s="91" t="s">
        <v>34</v>
      </c>
      <c r="C557" s="91" t="s">
        <v>3885</v>
      </c>
      <c r="D557" s="91" t="s">
        <v>3886</v>
      </c>
      <c r="E557" s="92" t="s">
        <v>3887</v>
      </c>
      <c r="F557" s="91" t="s">
        <v>81</v>
      </c>
      <c r="G557" s="80" t="s">
        <v>42</v>
      </c>
      <c r="H557" s="80" t="s">
        <v>21</v>
      </c>
      <c r="I557" s="91" t="s">
        <v>3888</v>
      </c>
      <c r="J557" s="80" t="s">
        <v>47</v>
      </c>
      <c r="K557" s="91" t="s">
        <v>3889</v>
      </c>
      <c r="L557" s="82" t="s">
        <v>3890</v>
      </c>
      <c r="M557" s="83">
        <f t="shared" si="1"/>
        <v>300</v>
      </c>
      <c r="N557" s="84">
        <v>300.0</v>
      </c>
      <c r="O557" s="84">
        <v>0.0</v>
      </c>
      <c r="P557" s="84">
        <v>0.0</v>
      </c>
      <c r="Q557" s="94">
        <v>28412.0</v>
      </c>
      <c r="R557" s="94">
        <v>2636.0</v>
      </c>
      <c r="S557" s="95" t="s">
        <v>697</v>
      </c>
      <c r="T557" s="94">
        <v>1.0</v>
      </c>
      <c r="U557" s="96">
        <v>41647.0</v>
      </c>
      <c r="V557" s="97" t="s">
        <v>3891</v>
      </c>
      <c r="W557" s="97" t="s">
        <v>3892</v>
      </c>
      <c r="X557" s="79" t="s">
        <v>3893</v>
      </c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  <c r="AP557" s="88"/>
      <c r="AQ557" s="88"/>
      <c r="AR557" s="88"/>
    </row>
    <row r="558" ht="19.5" customHeight="1">
      <c r="A558" s="79">
        <v>547.0</v>
      </c>
      <c r="B558" s="95" t="s">
        <v>34</v>
      </c>
      <c r="C558" s="95" t="s">
        <v>3885</v>
      </c>
      <c r="D558" s="95" t="s">
        <v>3894</v>
      </c>
      <c r="E558" s="100" t="s">
        <v>3895</v>
      </c>
      <c r="F558" s="95" t="s">
        <v>81</v>
      </c>
      <c r="G558" s="80" t="s">
        <v>42</v>
      </c>
      <c r="H558" s="80" t="s">
        <v>21</v>
      </c>
      <c r="I558" s="95" t="s">
        <v>3888</v>
      </c>
      <c r="J558" s="80" t="s">
        <v>47</v>
      </c>
      <c r="K558" s="91" t="s">
        <v>3889</v>
      </c>
      <c r="L558" s="127" t="s">
        <v>3896</v>
      </c>
      <c r="M558" s="83">
        <f t="shared" si="1"/>
        <v>300</v>
      </c>
      <c r="N558" s="84">
        <v>300.0</v>
      </c>
      <c r="O558" s="84">
        <v>0.0</v>
      </c>
      <c r="P558" s="84">
        <v>0.0</v>
      </c>
      <c r="Q558" s="94">
        <v>3608.0</v>
      </c>
      <c r="R558" s="94">
        <v>4410.97</v>
      </c>
      <c r="S558" s="95" t="s">
        <v>320</v>
      </c>
      <c r="T558" s="94">
        <v>1.0</v>
      </c>
      <c r="U558" s="96">
        <v>41091.0</v>
      </c>
      <c r="V558" s="97" t="s">
        <v>3897</v>
      </c>
      <c r="W558" s="97" t="s">
        <v>3898</v>
      </c>
      <c r="X558" s="79" t="s">
        <v>3899</v>
      </c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  <c r="AP558" s="88"/>
      <c r="AQ558" s="88"/>
      <c r="AR558" s="88"/>
    </row>
    <row r="559" ht="19.5" customHeight="1">
      <c r="A559" s="79">
        <v>548.0</v>
      </c>
      <c r="B559" s="91" t="s">
        <v>34</v>
      </c>
      <c r="C559" s="91" t="s">
        <v>3885</v>
      </c>
      <c r="D559" s="91" t="s">
        <v>3900</v>
      </c>
      <c r="E559" s="92" t="s">
        <v>3901</v>
      </c>
      <c r="F559" s="91" t="s">
        <v>801</v>
      </c>
      <c r="G559" s="80" t="s">
        <v>46</v>
      </c>
      <c r="H559" s="80" t="s">
        <v>21</v>
      </c>
      <c r="I559" s="91" t="s">
        <v>802</v>
      </c>
      <c r="J559" s="80" t="s">
        <v>45</v>
      </c>
      <c r="K559" s="91" t="s">
        <v>803</v>
      </c>
      <c r="L559" s="82" t="s">
        <v>3902</v>
      </c>
      <c r="M559" s="83">
        <f t="shared" si="1"/>
        <v>1022</v>
      </c>
      <c r="N559" s="84">
        <v>0.0</v>
      </c>
      <c r="O559" s="84">
        <v>722.0</v>
      </c>
      <c r="P559" s="84">
        <v>300.0</v>
      </c>
      <c r="Q559" s="94">
        <v>540641.0</v>
      </c>
      <c r="R559" s="94">
        <v>35400.0</v>
      </c>
      <c r="S559" s="95" t="s">
        <v>217</v>
      </c>
      <c r="T559" s="94">
        <v>43.0</v>
      </c>
      <c r="U559" s="96">
        <v>37118.0</v>
      </c>
      <c r="V559" s="97" t="s">
        <v>3903</v>
      </c>
      <c r="W559" s="97" t="s">
        <v>3904</v>
      </c>
      <c r="X559" s="79" t="s">
        <v>3905</v>
      </c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  <c r="AP559" s="88"/>
      <c r="AQ559" s="88"/>
      <c r="AR559" s="88"/>
    </row>
    <row r="560" ht="19.5" customHeight="1">
      <c r="A560" s="79">
        <v>549.0</v>
      </c>
      <c r="B560" s="91" t="s">
        <v>34</v>
      </c>
      <c r="C560" s="91" t="s">
        <v>3885</v>
      </c>
      <c r="D560" s="91" t="s">
        <v>3906</v>
      </c>
      <c r="E560" s="92" t="s">
        <v>3907</v>
      </c>
      <c r="F560" s="95" t="s">
        <v>311</v>
      </c>
      <c r="G560" s="80" t="s">
        <v>12</v>
      </c>
      <c r="H560" s="80" t="s">
        <v>21</v>
      </c>
      <c r="I560" s="91" t="s">
        <v>3908</v>
      </c>
      <c r="J560" s="80" t="s">
        <v>43</v>
      </c>
      <c r="K560" s="91" t="s">
        <v>3908</v>
      </c>
      <c r="L560" s="82" t="s">
        <v>3909</v>
      </c>
      <c r="M560" s="83">
        <f t="shared" si="1"/>
        <v>584</v>
      </c>
      <c r="N560" s="84">
        <v>0.0</v>
      </c>
      <c r="O560" s="84">
        <v>584.0</v>
      </c>
      <c r="P560" s="84">
        <v>0.0</v>
      </c>
      <c r="Q560" s="94">
        <v>25380.0</v>
      </c>
      <c r="R560" s="94">
        <v>7430.0</v>
      </c>
      <c r="S560" s="95" t="s">
        <v>103</v>
      </c>
      <c r="T560" s="94">
        <v>7.0</v>
      </c>
      <c r="U560" s="96">
        <v>36517.0</v>
      </c>
      <c r="V560" s="97" t="s">
        <v>3910</v>
      </c>
      <c r="W560" s="97" t="s">
        <v>3911</v>
      </c>
      <c r="X560" s="79" t="s">
        <v>3912</v>
      </c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  <c r="AP560" s="88"/>
      <c r="AQ560" s="88"/>
      <c r="AR560" s="88"/>
    </row>
    <row r="561" ht="19.5" customHeight="1">
      <c r="A561" s="79">
        <v>550.0</v>
      </c>
      <c r="B561" s="95" t="s">
        <v>34</v>
      </c>
      <c r="C561" s="95" t="s">
        <v>3885</v>
      </c>
      <c r="D561" s="95" t="s">
        <v>3913</v>
      </c>
      <c r="E561" s="100" t="s">
        <v>3914</v>
      </c>
      <c r="F561" s="95" t="s">
        <v>81</v>
      </c>
      <c r="G561" s="80" t="s">
        <v>44</v>
      </c>
      <c r="H561" s="80" t="s">
        <v>21</v>
      </c>
      <c r="I561" s="95" t="s">
        <v>3888</v>
      </c>
      <c r="J561" s="80" t="s">
        <v>47</v>
      </c>
      <c r="K561" s="95" t="s">
        <v>3889</v>
      </c>
      <c r="L561" s="127" t="s">
        <v>3915</v>
      </c>
      <c r="M561" s="83">
        <f t="shared" si="1"/>
        <v>100</v>
      </c>
      <c r="N561" s="84">
        <v>100.0</v>
      </c>
      <c r="O561" s="84">
        <v>0.0</v>
      </c>
      <c r="P561" s="84">
        <v>0.0</v>
      </c>
      <c r="Q561" s="94">
        <v>1186.0</v>
      </c>
      <c r="R561" s="94">
        <v>842.79</v>
      </c>
      <c r="S561" s="95" t="s">
        <v>3916</v>
      </c>
      <c r="T561" s="94">
        <v>1.0</v>
      </c>
      <c r="U561" s="96">
        <v>43871.0</v>
      </c>
      <c r="V561" s="97" t="s">
        <v>3917</v>
      </c>
      <c r="W561" s="97" t="s">
        <v>3918</v>
      </c>
      <c r="X561" s="79" t="s">
        <v>3919</v>
      </c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  <c r="AP561" s="88"/>
      <c r="AQ561" s="88"/>
      <c r="AR561" s="88"/>
    </row>
    <row r="562" ht="19.5" customHeight="1">
      <c r="A562" s="79">
        <v>551.0</v>
      </c>
      <c r="B562" s="95" t="s">
        <v>34</v>
      </c>
      <c r="C562" s="95" t="s">
        <v>3920</v>
      </c>
      <c r="D562" s="95" t="s">
        <v>3921</v>
      </c>
      <c r="E562" s="100" t="s">
        <v>3922</v>
      </c>
      <c r="F562" s="95" t="s">
        <v>81</v>
      </c>
      <c r="G562" s="80" t="s">
        <v>46</v>
      </c>
      <c r="H562" s="80" t="s">
        <v>21</v>
      </c>
      <c r="I562" s="95" t="s">
        <v>1837</v>
      </c>
      <c r="J562" s="80" t="s">
        <v>47</v>
      </c>
      <c r="K562" s="95" t="s">
        <v>1838</v>
      </c>
      <c r="L562" s="127" t="s">
        <v>3923</v>
      </c>
      <c r="M562" s="83">
        <f t="shared" si="1"/>
        <v>178</v>
      </c>
      <c r="N562" s="84"/>
      <c r="O562" s="84">
        <v>178.0</v>
      </c>
      <c r="P562" s="84"/>
      <c r="Q562" s="94">
        <v>52491.0</v>
      </c>
      <c r="R562" s="94">
        <v>2614.08</v>
      </c>
      <c r="S562" s="95" t="s">
        <v>350</v>
      </c>
      <c r="T562" s="94">
        <v>15.0</v>
      </c>
      <c r="U562" s="96">
        <v>38196.0</v>
      </c>
      <c r="V562" s="97" t="s">
        <v>3924</v>
      </c>
      <c r="W562" s="97" t="s">
        <v>3925</v>
      </c>
      <c r="X562" s="79" t="s">
        <v>3926</v>
      </c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  <c r="AP562" s="88"/>
      <c r="AQ562" s="88"/>
      <c r="AR562" s="88"/>
    </row>
    <row r="563" ht="19.5" customHeight="1">
      <c r="A563" s="79">
        <v>552.0</v>
      </c>
      <c r="B563" s="91" t="s">
        <v>34</v>
      </c>
      <c r="C563" s="91" t="s">
        <v>3920</v>
      </c>
      <c r="D563" s="91" t="s">
        <v>3927</v>
      </c>
      <c r="E563" s="92" t="s">
        <v>3928</v>
      </c>
      <c r="F563" s="91" t="s">
        <v>22</v>
      </c>
      <c r="G563" s="80" t="s">
        <v>46</v>
      </c>
      <c r="H563" s="80" t="s">
        <v>22</v>
      </c>
      <c r="I563" s="91" t="s">
        <v>3929</v>
      </c>
      <c r="J563" s="80" t="s">
        <v>43</v>
      </c>
      <c r="K563" s="91" t="s">
        <v>3929</v>
      </c>
      <c r="L563" s="82" t="s">
        <v>3930</v>
      </c>
      <c r="M563" s="83">
        <f t="shared" si="1"/>
        <v>1000</v>
      </c>
      <c r="N563" s="84"/>
      <c r="O563" s="84">
        <v>885.0</v>
      </c>
      <c r="P563" s="84">
        <v>115.0</v>
      </c>
      <c r="Q563" s="94">
        <v>278521.0</v>
      </c>
      <c r="R563" s="94">
        <v>8448.349</v>
      </c>
      <c r="S563" s="95" t="s">
        <v>291</v>
      </c>
      <c r="T563" s="94">
        <v>10.0</v>
      </c>
      <c r="U563" s="96">
        <v>36249.0</v>
      </c>
      <c r="V563" s="97" t="s">
        <v>3931</v>
      </c>
      <c r="W563" s="97" t="s">
        <v>3932</v>
      </c>
      <c r="X563" s="79" t="s">
        <v>3933</v>
      </c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  <c r="AP563" s="88"/>
      <c r="AQ563" s="88"/>
      <c r="AR563" s="88"/>
    </row>
    <row r="564" ht="19.5" customHeight="1">
      <c r="A564" s="79">
        <v>553.0</v>
      </c>
      <c r="B564" s="91" t="s">
        <v>34</v>
      </c>
      <c r="C564" s="91" t="s">
        <v>3920</v>
      </c>
      <c r="D564" s="91" t="s">
        <v>3934</v>
      </c>
      <c r="E564" s="92" t="s">
        <v>3935</v>
      </c>
      <c r="F564" s="91" t="s">
        <v>687</v>
      </c>
      <c r="G564" s="80" t="s">
        <v>44</v>
      </c>
      <c r="H564" s="80" t="s">
        <v>21</v>
      </c>
      <c r="I564" s="91" t="s">
        <v>3936</v>
      </c>
      <c r="J564" s="80" t="s">
        <v>47</v>
      </c>
      <c r="K564" s="91" t="s">
        <v>3937</v>
      </c>
      <c r="L564" s="82" t="s">
        <v>3938</v>
      </c>
      <c r="M564" s="83">
        <f t="shared" si="1"/>
        <v>145</v>
      </c>
      <c r="N564" s="84">
        <v>145.0</v>
      </c>
      <c r="O564" s="84">
        <v>0.0</v>
      </c>
      <c r="P564" s="84">
        <v>0.0</v>
      </c>
      <c r="Q564" s="94">
        <v>31106.0</v>
      </c>
      <c r="R564" s="94">
        <v>1518.0</v>
      </c>
      <c r="S564" s="95" t="s">
        <v>103</v>
      </c>
      <c r="T564" s="94">
        <v>1.0</v>
      </c>
      <c r="U564" s="96">
        <v>42950.0</v>
      </c>
      <c r="V564" s="97" t="s">
        <v>3939</v>
      </c>
      <c r="W564" s="97" t="s">
        <v>3940</v>
      </c>
      <c r="X564" s="79" t="s">
        <v>3941</v>
      </c>
      <c r="Y564" s="98"/>
      <c r="Z564" s="98"/>
      <c r="AA564" s="98"/>
      <c r="AB564" s="98"/>
      <c r="AC564" s="98"/>
      <c r="AD564" s="98"/>
      <c r="AE564" s="98"/>
      <c r="AF564" s="98"/>
      <c r="AG564" s="98"/>
      <c r="AH564" s="98"/>
      <c r="AI564" s="98"/>
      <c r="AJ564" s="98"/>
      <c r="AK564" s="98"/>
      <c r="AL564" s="98"/>
      <c r="AM564" s="98"/>
      <c r="AN564" s="98"/>
      <c r="AO564" s="98"/>
      <c r="AP564" s="98"/>
      <c r="AQ564" s="98"/>
      <c r="AR564" s="98"/>
    </row>
    <row r="565" ht="19.5" customHeight="1">
      <c r="A565" s="79">
        <v>554.0</v>
      </c>
      <c r="B565" s="91" t="s">
        <v>34</v>
      </c>
      <c r="C565" s="91" t="s">
        <v>3920</v>
      </c>
      <c r="D565" s="91" t="s">
        <v>3942</v>
      </c>
      <c r="E565" s="92" t="s">
        <v>3943</v>
      </c>
      <c r="F565" s="91" t="s">
        <v>91</v>
      </c>
      <c r="G565" s="80" t="s">
        <v>48</v>
      </c>
      <c r="H565" s="80" t="s">
        <v>21</v>
      </c>
      <c r="I565" s="91" t="s">
        <v>544</v>
      </c>
      <c r="J565" s="80" t="s">
        <v>43</v>
      </c>
      <c r="K565" s="91" t="s">
        <v>3944</v>
      </c>
      <c r="L565" s="82" t="s">
        <v>3945</v>
      </c>
      <c r="M565" s="83">
        <f t="shared" si="1"/>
        <v>86</v>
      </c>
      <c r="N565" s="84">
        <v>0.0</v>
      </c>
      <c r="O565" s="84">
        <v>46.0</v>
      </c>
      <c r="P565" s="84">
        <v>40.0</v>
      </c>
      <c r="Q565" s="94">
        <v>12936.0</v>
      </c>
      <c r="R565" s="94">
        <v>1777.46</v>
      </c>
      <c r="S565" s="95" t="s">
        <v>350</v>
      </c>
      <c r="T565" s="94">
        <v>1.0</v>
      </c>
      <c r="U565" s="96">
        <v>43600.0</v>
      </c>
      <c r="V565" s="97" t="s">
        <v>3946</v>
      </c>
      <c r="W565" s="97" t="s">
        <v>3947</v>
      </c>
      <c r="X565" s="79" t="s">
        <v>3948</v>
      </c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  <c r="AP565" s="88"/>
      <c r="AQ565" s="88"/>
      <c r="AR565" s="88"/>
    </row>
    <row r="566" ht="19.5" customHeight="1">
      <c r="A566" s="79">
        <v>555.0</v>
      </c>
      <c r="B566" s="91" t="s">
        <v>34</v>
      </c>
      <c r="C566" s="91" t="s">
        <v>3949</v>
      </c>
      <c r="D566" s="91" t="s">
        <v>3950</v>
      </c>
      <c r="E566" s="92" t="s">
        <v>3951</v>
      </c>
      <c r="F566" s="91" t="s">
        <v>687</v>
      </c>
      <c r="G566" s="80" t="s">
        <v>42</v>
      </c>
      <c r="H566" s="80" t="s">
        <v>21</v>
      </c>
      <c r="I566" s="91" t="s">
        <v>3952</v>
      </c>
      <c r="J566" s="80" t="s">
        <v>43</v>
      </c>
      <c r="K566" s="91" t="s">
        <v>3952</v>
      </c>
      <c r="L566" s="82" t="s">
        <v>3953</v>
      </c>
      <c r="M566" s="83">
        <f t="shared" si="1"/>
        <v>250</v>
      </c>
      <c r="N566" s="84">
        <v>250.0</v>
      </c>
      <c r="O566" s="84"/>
      <c r="P566" s="84"/>
      <c r="Q566" s="94">
        <v>24539.0</v>
      </c>
      <c r="R566" s="94">
        <v>2509.0</v>
      </c>
      <c r="S566" s="95" t="s">
        <v>3954</v>
      </c>
      <c r="T566" s="94">
        <v>1.0</v>
      </c>
      <c r="U566" s="96">
        <v>40241.0</v>
      </c>
      <c r="V566" s="97" t="s">
        <v>3955</v>
      </c>
      <c r="W566" s="97" t="s">
        <v>3956</v>
      </c>
      <c r="X566" s="79" t="s">
        <v>3957</v>
      </c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  <c r="AP566" s="88"/>
      <c r="AQ566" s="88"/>
      <c r="AR566" s="88"/>
    </row>
    <row r="567" ht="19.5" customHeight="1">
      <c r="A567" s="79">
        <v>556.0</v>
      </c>
      <c r="B567" s="91" t="s">
        <v>34</v>
      </c>
      <c r="C567" s="91" t="s">
        <v>3949</v>
      </c>
      <c r="D567" s="91" t="s">
        <v>3958</v>
      </c>
      <c r="E567" s="92" t="s">
        <v>3959</v>
      </c>
      <c r="F567" s="91" t="s">
        <v>22</v>
      </c>
      <c r="G567" s="80" t="s">
        <v>46</v>
      </c>
      <c r="H567" s="80" t="s">
        <v>22</v>
      </c>
      <c r="I567" s="91" t="s">
        <v>3960</v>
      </c>
      <c r="J567" s="80" t="s">
        <v>45</v>
      </c>
      <c r="K567" s="91" t="s">
        <v>3961</v>
      </c>
      <c r="L567" s="82" t="s">
        <v>3962</v>
      </c>
      <c r="M567" s="83">
        <f t="shared" si="1"/>
        <v>489</v>
      </c>
      <c r="N567" s="84"/>
      <c r="O567" s="84">
        <v>489.0</v>
      </c>
      <c r="P567" s="84"/>
      <c r="Q567" s="94">
        <v>11245.0</v>
      </c>
      <c r="R567" s="94">
        <v>7518.0</v>
      </c>
      <c r="S567" s="95" t="s">
        <v>3963</v>
      </c>
      <c r="T567" s="94">
        <v>2.0</v>
      </c>
      <c r="U567" s="96">
        <v>38065.0</v>
      </c>
      <c r="V567" s="97" t="s">
        <v>3964</v>
      </c>
      <c r="W567" s="97" t="s">
        <v>3965</v>
      </c>
      <c r="X567" s="79" t="s">
        <v>3966</v>
      </c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  <c r="AP567" s="88"/>
      <c r="AQ567" s="88"/>
      <c r="AR567" s="88"/>
    </row>
    <row r="568" ht="19.5" customHeight="1">
      <c r="A568" s="79">
        <v>557.0</v>
      </c>
      <c r="B568" s="91" t="s">
        <v>34</v>
      </c>
      <c r="C568" s="91" t="s">
        <v>3949</v>
      </c>
      <c r="D568" s="91" t="s">
        <v>3075</v>
      </c>
      <c r="E568" s="92" t="s">
        <v>3967</v>
      </c>
      <c r="F568" s="91" t="s">
        <v>22</v>
      </c>
      <c r="G568" s="80" t="s">
        <v>46</v>
      </c>
      <c r="H568" s="80" t="s">
        <v>22</v>
      </c>
      <c r="I568" s="91" t="s">
        <v>3968</v>
      </c>
      <c r="J568" s="80" t="s">
        <v>43</v>
      </c>
      <c r="K568" s="91" t="s">
        <v>3969</v>
      </c>
      <c r="L568" s="82" t="s">
        <v>3970</v>
      </c>
      <c r="M568" s="83">
        <f t="shared" si="1"/>
        <v>745</v>
      </c>
      <c r="N568" s="84">
        <v>0.0</v>
      </c>
      <c r="O568" s="84">
        <v>625.0</v>
      </c>
      <c r="P568" s="84">
        <v>120.0</v>
      </c>
      <c r="Q568" s="94">
        <v>21876.0</v>
      </c>
      <c r="R568" s="94">
        <v>6925.0</v>
      </c>
      <c r="S568" s="95" t="s">
        <v>3971</v>
      </c>
      <c r="T568" s="94">
        <v>19.0</v>
      </c>
      <c r="U568" s="96">
        <v>40358.0</v>
      </c>
      <c r="V568" s="97" t="s">
        <v>3972</v>
      </c>
      <c r="W568" s="97" t="s">
        <v>3973</v>
      </c>
      <c r="X568" s="79" t="s">
        <v>3974</v>
      </c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  <c r="AP568" s="88"/>
      <c r="AQ568" s="88"/>
      <c r="AR568" s="88"/>
    </row>
    <row r="569" ht="19.5" customHeight="1">
      <c r="A569" s="79">
        <v>558.0</v>
      </c>
      <c r="B569" s="91" t="s">
        <v>34</v>
      </c>
      <c r="C569" s="91" t="s">
        <v>3949</v>
      </c>
      <c r="D569" s="91" t="s">
        <v>3958</v>
      </c>
      <c r="E569" s="92" t="s">
        <v>3975</v>
      </c>
      <c r="F569" s="91" t="s">
        <v>22</v>
      </c>
      <c r="G569" s="80" t="s">
        <v>46</v>
      </c>
      <c r="H569" s="80" t="s">
        <v>22</v>
      </c>
      <c r="I569" s="91" t="s">
        <v>3976</v>
      </c>
      <c r="J569" s="80" t="s">
        <v>45</v>
      </c>
      <c r="K569" s="91" t="s">
        <v>3977</v>
      </c>
      <c r="L569" s="82" t="s">
        <v>3978</v>
      </c>
      <c r="M569" s="83">
        <f t="shared" si="1"/>
        <v>356</v>
      </c>
      <c r="N569" s="84">
        <v>0.0</v>
      </c>
      <c r="O569" s="84">
        <v>356.0</v>
      </c>
      <c r="P569" s="84">
        <v>0.0</v>
      </c>
      <c r="Q569" s="94">
        <v>68000.0</v>
      </c>
      <c r="R569" s="94">
        <v>4483.0</v>
      </c>
      <c r="S569" s="95" t="s">
        <v>3963</v>
      </c>
      <c r="T569" s="94">
        <v>1.0</v>
      </c>
      <c r="U569" s="96">
        <v>41023.0</v>
      </c>
      <c r="V569" s="97" t="s">
        <v>3979</v>
      </c>
      <c r="W569" s="97" t="s">
        <v>3980</v>
      </c>
      <c r="X569" s="79" t="s">
        <v>3981</v>
      </c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  <c r="AP569" s="88"/>
      <c r="AQ569" s="88"/>
      <c r="AR569" s="88"/>
    </row>
    <row r="570" ht="19.5" customHeight="1">
      <c r="A570" s="79">
        <v>559.0</v>
      </c>
      <c r="B570" s="91" t="s">
        <v>34</v>
      </c>
      <c r="C570" s="91" t="s">
        <v>3949</v>
      </c>
      <c r="D570" s="91" t="s">
        <v>3438</v>
      </c>
      <c r="E570" s="92" t="s">
        <v>3982</v>
      </c>
      <c r="F570" s="91" t="s">
        <v>22</v>
      </c>
      <c r="G570" s="80" t="s">
        <v>48</v>
      </c>
      <c r="H570" s="80" t="s">
        <v>22</v>
      </c>
      <c r="I570" s="91" t="s">
        <v>3983</v>
      </c>
      <c r="J570" s="80" t="s">
        <v>43</v>
      </c>
      <c r="K570" s="91"/>
      <c r="L570" s="82" t="s">
        <v>3984</v>
      </c>
      <c r="M570" s="83">
        <f t="shared" si="1"/>
        <v>220</v>
      </c>
      <c r="N570" s="84"/>
      <c r="O570" s="84"/>
      <c r="P570" s="84">
        <v>220.0</v>
      </c>
      <c r="Q570" s="94">
        <v>9576.0</v>
      </c>
      <c r="R570" s="94">
        <v>135.0</v>
      </c>
      <c r="S570" s="95" t="s">
        <v>3985</v>
      </c>
      <c r="T570" s="94">
        <v>6.0</v>
      </c>
      <c r="U570" s="96">
        <v>43669.0</v>
      </c>
      <c r="V570" s="97" t="s">
        <v>3986</v>
      </c>
      <c r="W570" s="97"/>
      <c r="X570" s="79" t="s">
        <v>3987</v>
      </c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  <c r="AP570" s="88"/>
      <c r="AQ570" s="88"/>
      <c r="AR570" s="88"/>
    </row>
    <row r="571" ht="19.5" customHeight="1">
      <c r="A571" s="79">
        <v>560.0</v>
      </c>
      <c r="B571" s="91" t="s">
        <v>34</v>
      </c>
      <c r="C571" s="91" t="s">
        <v>3988</v>
      </c>
      <c r="D571" s="91" t="s">
        <v>3989</v>
      </c>
      <c r="E571" s="92" t="s">
        <v>1309</v>
      </c>
      <c r="F571" s="91" t="s">
        <v>687</v>
      </c>
      <c r="G571" s="80" t="s">
        <v>44</v>
      </c>
      <c r="H571" s="80" t="s">
        <v>21</v>
      </c>
      <c r="I571" s="91" t="s">
        <v>3990</v>
      </c>
      <c r="J571" s="80" t="s">
        <v>45</v>
      </c>
      <c r="K571" s="79" t="s">
        <v>3991</v>
      </c>
      <c r="L571" s="93" t="s">
        <v>3992</v>
      </c>
      <c r="M571" s="83">
        <f t="shared" si="1"/>
        <v>50</v>
      </c>
      <c r="N571" s="84">
        <v>50.0</v>
      </c>
      <c r="O571" s="84">
        <v>0.0</v>
      </c>
      <c r="P571" s="84">
        <v>0.0</v>
      </c>
      <c r="Q571" s="94">
        <v>1897.0</v>
      </c>
      <c r="R571" s="94" t="s">
        <v>3993</v>
      </c>
      <c r="S571" s="95" t="s">
        <v>291</v>
      </c>
      <c r="T571" s="94">
        <v>1.0</v>
      </c>
      <c r="U571" s="96">
        <v>42741.0</v>
      </c>
      <c r="V571" s="97" t="s">
        <v>3994</v>
      </c>
      <c r="W571" s="97" t="s">
        <v>3995</v>
      </c>
      <c r="X571" s="79" t="s">
        <v>3996</v>
      </c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  <c r="AP571" s="88"/>
      <c r="AQ571" s="88"/>
      <c r="AR571" s="88"/>
    </row>
    <row r="572" ht="19.5" customHeight="1">
      <c r="A572" s="79">
        <v>561.0</v>
      </c>
      <c r="B572" s="91" t="s">
        <v>34</v>
      </c>
      <c r="C572" s="91" t="s">
        <v>3988</v>
      </c>
      <c r="D572" s="91" t="s">
        <v>3997</v>
      </c>
      <c r="E572" s="92" t="s">
        <v>3998</v>
      </c>
      <c r="F572" s="91" t="s">
        <v>687</v>
      </c>
      <c r="G572" s="80" t="s">
        <v>42</v>
      </c>
      <c r="H572" s="80" t="s">
        <v>21</v>
      </c>
      <c r="I572" s="91" t="s">
        <v>3990</v>
      </c>
      <c r="J572" s="80" t="s">
        <v>45</v>
      </c>
      <c r="K572" s="79" t="s">
        <v>3991</v>
      </c>
      <c r="L572" s="93" t="s">
        <v>3999</v>
      </c>
      <c r="M572" s="83">
        <f t="shared" si="1"/>
        <v>284</v>
      </c>
      <c r="N572" s="84">
        <v>284.0</v>
      </c>
      <c r="O572" s="84">
        <v>0.0</v>
      </c>
      <c r="P572" s="84">
        <v>0.0</v>
      </c>
      <c r="Q572" s="94">
        <v>1641.0</v>
      </c>
      <c r="R572" s="94">
        <v>2756.0</v>
      </c>
      <c r="S572" s="95" t="s">
        <v>103</v>
      </c>
      <c r="T572" s="94">
        <v>1.0</v>
      </c>
      <c r="U572" s="96">
        <v>37344.0</v>
      </c>
      <c r="V572" s="97" t="s">
        <v>4000</v>
      </c>
      <c r="W572" s="97" t="s">
        <v>4001</v>
      </c>
      <c r="X572" s="79" t="s">
        <v>3996</v>
      </c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  <c r="AP572" s="88"/>
      <c r="AQ572" s="88"/>
      <c r="AR572" s="88"/>
    </row>
    <row r="573" ht="19.5" customHeight="1">
      <c r="A573" s="79">
        <v>562.0</v>
      </c>
      <c r="B573" s="95" t="s">
        <v>35</v>
      </c>
      <c r="C573" s="95" t="s">
        <v>4002</v>
      </c>
      <c r="D573" s="95" t="s">
        <v>4003</v>
      </c>
      <c r="E573" s="100" t="s">
        <v>4004</v>
      </c>
      <c r="F573" s="95" t="s">
        <v>687</v>
      </c>
      <c r="G573" s="80" t="s">
        <v>42</v>
      </c>
      <c r="H573" s="80" t="s">
        <v>21</v>
      </c>
      <c r="I573" s="95" t="s">
        <v>4005</v>
      </c>
      <c r="J573" s="80" t="s">
        <v>43</v>
      </c>
      <c r="K573" s="95" t="s">
        <v>4006</v>
      </c>
      <c r="L573" s="82" t="s">
        <v>4007</v>
      </c>
      <c r="M573" s="83">
        <f t="shared" si="1"/>
        <v>440</v>
      </c>
      <c r="N573" s="84">
        <v>350.0</v>
      </c>
      <c r="O573" s="84">
        <v>90.0</v>
      </c>
      <c r="P573" s="84"/>
      <c r="Q573" s="94">
        <v>104580.0</v>
      </c>
      <c r="R573" s="94">
        <v>4916.0</v>
      </c>
      <c r="S573" s="95" t="s">
        <v>291</v>
      </c>
      <c r="T573" s="94">
        <v>2.0</v>
      </c>
      <c r="U573" s="96">
        <v>38169.0</v>
      </c>
      <c r="V573" s="97" t="s">
        <v>4008</v>
      </c>
      <c r="W573" s="97" t="s">
        <v>4009</v>
      </c>
      <c r="X573" s="79" t="s">
        <v>4010</v>
      </c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  <c r="AP573" s="88"/>
      <c r="AQ573" s="88"/>
      <c r="AR573" s="88"/>
    </row>
    <row r="574" ht="19.5" customHeight="1">
      <c r="A574" s="79">
        <v>563.0</v>
      </c>
      <c r="B574" s="95" t="s">
        <v>35</v>
      </c>
      <c r="C574" s="95" t="s">
        <v>4002</v>
      </c>
      <c r="D574" s="95" t="s">
        <v>4011</v>
      </c>
      <c r="E574" s="100" t="s">
        <v>4012</v>
      </c>
      <c r="F574" s="95" t="s">
        <v>687</v>
      </c>
      <c r="G574" s="80" t="s">
        <v>44</v>
      </c>
      <c r="H574" s="80" t="s">
        <v>21</v>
      </c>
      <c r="I574" s="95" t="s">
        <v>4005</v>
      </c>
      <c r="J574" s="80" t="s">
        <v>43</v>
      </c>
      <c r="K574" s="95" t="s">
        <v>4006</v>
      </c>
      <c r="L574" s="82" t="s">
        <v>4013</v>
      </c>
      <c r="M574" s="83">
        <f t="shared" si="1"/>
        <v>50</v>
      </c>
      <c r="N574" s="84">
        <v>50.0</v>
      </c>
      <c r="O574" s="84"/>
      <c r="P574" s="84"/>
      <c r="Q574" s="94">
        <v>1027.0</v>
      </c>
      <c r="R574" s="94">
        <v>608.19</v>
      </c>
      <c r="S574" s="95" t="s">
        <v>350</v>
      </c>
      <c r="T574" s="94">
        <v>1.0</v>
      </c>
      <c r="U574" s="96">
        <v>37987.0</v>
      </c>
      <c r="V574" s="97" t="s">
        <v>4014</v>
      </c>
      <c r="W574" s="97" t="s">
        <v>4014</v>
      </c>
      <c r="X574" s="79" t="s">
        <v>4015</v>
      </c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  <c r="AP574" s="88"/>
      <c r="AQ574" s="88"/>
      <c r="AR574" s="88"/>
    </row>
    <row r="575" ht="19.5" customHeight="1">
      <c r="A575" s="79">
        <v>564.0</v>
      </c>
      <c r="B575" s="95" t="s">
        <v>35</v>
      </c>
      <c r="C575" s="95" t="s">
        <v>4002</v>
      </c>
      <c r="D575" s="95" t="s">
        <v>4016</v>
      </c>
      <c r="E575" s="100" t="s">
        <v>4017</v>
      </c>
      <c r="F575" s="95" t="s">
        <v>687</v>
      </c>
      <c r="G575" s="80" t="s">
        <v>12</v>
      </c>
      <c r="H575" s="80" t="s">
        <v>21</v>
      </c>
      <c r="I575" s="95" t="s">
        <v>4005</v>
      </c>
      <c r="J575" s="80" t="s">
        <v>43</v>
      </c>
      <c r="K575" s="95" t="s">
        <v>4006</v>
      </c>
      <c r="L575" s="82" t="s">
        <v>4018</v>
      </c>
      <c r="M575" s="83">
        <f t="shared" si="1"/>
        <v>230</v>
      </c>
      <c r="N575" s="84"/>
      <c r="O575" s="84">
        <v>230.0</v>
      </c>
      <c r="P575" s="84"/>
      <c r="Q575" s="94">
        <v>8010.0</v>
      </c>
      <c r="R575" s="94">
        <v>4658.0</v>
      </c>
      <c r="S575" s="95" t="s">
        <v>103</v>
      </c>
      <c r="T575" s="94">
        <v>2.0</v>
      </c>
      <c r="U575" s="96">
        <v>36518.0</v>
      </c>
      <c r="V575" s="97" t="s">
        <v>4019</v>
      </c>
      <c r="W575" s="97" t="s">
        <v>4009</v>
      </c>
      <c r="X575" s="79" t="s">
        <v>4020</v>
      </c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  <c r="AP575" s="88"/>
      <c r="AQ575" s="88"/>
      <c r="AR575" s="88"/>
    </row>
    <row r="576" ht="19.5" customHeight="1">
      <c r="A576" s="79">
        <v>565.0</v>
      </c>
      <c r="B576" s="95" t="s">
        <v>35</v>
      </c>
      <c r="C576" s="95" t="s">
        <v>4002</v>
      </c>
      <c r="D576" s="95" t="s">
        <v>4021</v>
      </c>
      <c r="E576" s="100" t="s">
        <v>4022</v>
      </c>
      <c r="F576" s="95" t="s">
        <v>687</v>
      </c>
      <c r="G576" s="80" t="s">
        <v>44</v>
      </c>
      <c r="H576" s="80" t="s">
        <v>21</v>
      </c>
      <c r="I576" s="95" t="s">
        <v>4005</v>
      </c>
      <c r="J576" s="80" t="s">
        <v>43</v>
      </c>
      <c r="K576" s="95" t="s">
        <v>4006</v>
      </c>
      <c r="L576" s="82" t="s">
        <v>4023</v>
      </c>
      <c r="M576" s="83">
        <f t="shared" si="1"/>
        <v>50</v>
      </c>
      <c r="N576" s="84">
        <v>50.0</v>
      </c>
      <c r="O576" s="84"/>
      <c r="P576" s="84"/>
      <c r="Q576" s="94">
        <v>3590.0</v>
      </c>
      <c r="R576" s="94">
        <v>345.86</v>
      </c>
      <c r="S576" s="95" t="s">
        <v>4024</v>
      </c>
      <c r="T576" s="94">
        <v>1.0</v>
      </c>
      <c r="U576" s="96">
        <v>37987.0</v>
      </c>
      <c r="V576" s="97" t="s">
        <v>4025</v>
      </c>
      <c r="W576" s="97" t="s">
        <v>4009</v>
      </c>
      <c r="X576" s="79" t="s">
        <v>4026</v>
      </c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  <c r="AP576" s="88"/>
      <c r="AQ576" s="88"/>
      <c r="AR576" s="88"/>
    </row>
    <row r="577" ht="19.5" customHeight="1">
      <c r="A577" s="79">
        <v>566.0</v>
      </c>
      <c r="B577" s="95" t="s">
        <v>35</v>
      </c>
      <c r="C577" s="95" t="s">
        <v>4002</v>
      </c>
      <c r="D577" s="95" t="s">
        <v>4016</v>
      </c>
      <c r="E577" s="100" t="s">
        <v>4027</v>
      </c>
      <c r="F577" s="95" t="s">
        <v>687</v>
      </c>
      <c r="G577" s="80" t="s">
        <v>12</v>
      </c>
      <c r="H577" s="80" t="s">
        <v>21</v>
      </c>
      <c r="I577" s="95" t="s">
        <v>4005</v>
      </c>
      <c r="J577" s="80" t="s">
        <v>43</v>
      </c>
      <c r="K577" s="95" t="s">
        <v>4006</v>
      </c>
      <c r="L577" s="82" t="s">
        <v>4028</v>
      </c>
      <c r="M577" s="83">
        <f t="shared" si="1"/>
        <v>76</v>
      </c>
      <c r="N577" s="84"/>
      <c r="O577" s="84">
        <v>76.0</v>
      </c>
      <c r="P577" s="84"/>
      <c r="Q577" s="94">
        <v>8191.0</v>
      </c>
      <c r="R577" s="94">
        <v>1390.0</v>
      </c>
      <c r="S577" s="95" t="s">
        <v>704</v>
      </c>
      <c r="T577" s="94">
        <v>7.0</v>
      </c>
      <c r="U577" s="96">
        <v>43871.0</v>
      </c>
      <c r="V577" s="97" t="s">
        <v>4029</v>
      </c>
      <c r="W577" s="97" t="s">
        <v>4030</v>
      </c>
      <c r="X577" s="79" t="s">
        <v>4031</v>
      </c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  <c r="AP577" s="88"/>
      <c r="AQ577" s="88"/>
      <c r="AR577" s="88"/>
    </row>
    <row r="578" ht="19.5" customHeight="1">
      <c r="A578" s="79">
        <v>567.0</v>
      </c>
      <c r="B578" s="95" t="s">
        <v>35</v>
      </c>
      <c r="C578" s="95" t="s">
        <v>4032</v>
      </c>
      <c r="D578" s="95" t="s">
        <v>4033</v>
      </c>
      <c r="E578" s="100" t="s">
        <v>4034</v>
      </c>
      <c r="F578" s="95" t="s">
        <v>81</v>
      </c>
      <c r="G578" s="80" t="s">
        <v>42</v>
      </c>
      <c r="H578" s="80" t="s">
        <v>21</v>
      </c>
      <c r="I578" s="95" t="s">
        <v>4035</v>
      </c>
      <c r="J578" s="80" t="s">
        <v>45</v>
      </c>
      <c r="K578" s="95" t="s">
        <v>4036</v>
      </c>
      <c r="L578" s="82" t="s">
        <v>4037</v>
      </c>
      <c r="M578" s="83">
        <f t="shared" si="1"/>
        <v>1147</v>
      </c>
      <c r="N578" s="84">
        <v>882.0</v>
      </c>
      <c r="O578" s="84">
        <v>265.0</v>
      </c>
      <c r="P578" s="84">
        <v>0.0</v>
      </c>
      <c r="Q578" s="94">
        <v>18100.0</v>
      </c>
      <c r="R578" s="94">
        <v>11311.0</v>
      </c>
      <c r="S578" s="95" t="s">
        <v>4038</v>
      </c>
      <c r="T578" s="94">
        <v>2.0</v>
      </c>
      <c r="U578" s="96">
        <v>34988.0</v>
      </c>
      <c r="V578" s="97" t="s">
        <v>4039</v>
      </c>
      <c r="W578" s="97" t="s">
        <v>4040</v>
      </c>
      <c r="X578" s="79" t="s">
        <v>4041</v>
      </c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  <c r="AP578" s="88"/>
      <c r="AQ578" s="88"/>
      <c r="AR578" s="88"/>
    </row>
    <row r="579" ht="19.5" customHeight="1">
      <c r="A579" s="79">
        <v>568.0</v>
      </c>
      <c r="B579" s="95" t="s">
        <v>35</v>
      </c>
      <c r="C579" s="95" t="s">
        <v>4032</v>
      </c>
      <c r="D579" s="95" t="s">
        <v>4042</v>
      </c>
      <c r="E579" s="100" t="s">
        <v>4043</v>
      </c>
      <c r="F579" s="95" t="s">
        <v>81</v>
      </c>
      <c r="G579" s="80" t="s">
        <v>44</v>
      </c>
      <c r="H579" s="80" t="s">
        <v>21</v>
      </c>
      <c r="I579" s="95" t="s">
        <v>4035</v>
      </c>
      <c r="J579" s="80" t="s">
        <v>45</v>
      </c>
      <c r="K579" s="95" t="s">
        <v>4036</v>
      </c>
      <c r="L579" s="82" t="s">
        <v>4044</v>
      </c>
      <c r="M579" s="83">
        <f t="shared" si="1"/>
        <v>200</v>
      </c>
      <c r="N579" s="84">
        <v>200.0</v>
      </c>
      <c r="O579" s="84">
        <v>0.0</v>
      </c>
      <c r="P579" s="84">
        <v>0.0</v>
      </c>
      <c r="Q579" s="94">
        <v>1733.0</v>
      </c>
      <c r="R579" s="94">
        <v>1023.0</v>
      </c>
      <c r="S579" s="95" t="s">
        <v>314</v>
      </c>
      <c r="T579" s="94">
        <v>1.0</v>
      </c>
      <c r="U579" s="96">
        <v>39086.0</v>
      </c>
      <c r="V579" s="97" t="s">
        <v>4045</v>
      </c>
      <c r="W579" s="97" t="s">
        <v>4046</v>
      </c>
      <c r="X579" s="79" t="s">
        <v>4047</v>
      </c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  <c r="AP579" s="88"/>
      <c r="AQ579" s="88"/>
      <c r="AR579" s="88"/>
    </row>
    <row r="580" ht="19.5" customHeight="1">
      <c r="A580" s="79">
        <v>569.0</v>
      </c>
      <c r="B580" s="95" t="s">
        <v>35</v>
      </c>
      <c r="C580" s="95" t="s">
        <v>4048</v>
      </c>
      <c r="D580" s="95" t="s">
        <v>4049</v>
      </c>
      <c r="E580" s="100" t="s">
        <v>4050</v>
      </c>
      <c r="F580" s="95" t="s">
        <v>81</v>
      </c>
      <c r="G580" s="80" t="s">
        <v>42</v>
      </c>
      <c r="H580" s="80" t="s">
        <v>21</v>
      </c>
      <c r="I580" s="95" t="s">
        <v>4051</v>
      </c>
      <c r="J580" s="80" t="s">
        <v>43</v>
      </c>
      <c r="K580" s="95" t="s">
        <v>4051</v>
      </c>
      <c r="L580" s="82" t="s">
        <v>4052</v>
      </c>
      <c r="M580" s="83">
        <f t="shared" si="1"/>
        <v>507</v>
      </c>
      <c r="N580" s="84">
        <v>507.0</v>
      </c>
      <c r="O580" s="84">
        <v>0.0</v>
      </c>
      <c r="P580" s="84"/>
      <c r="Q580" s="94">
        <v>6600.0</v>
      </c>
      <c r="R580" s="94">
        <v>4234.0</v>
      </c>
      <c r="S580" s="95" t="s">
        <v>103</v>
      </c>
      <c r="T580" s="94">
        <v>1.0</v>
      </c>
      <c r="U580" s="96">
        <v>36258.0</v>
      </c>
      <c r="V580" s="97" t="s">
        <v>4053</v>
      </c>
      <c r="W580" s="97" t="s">
        <v>4054</v>
      </c>
      <c r="X580" s="79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  <c r="AP580" s="88"/>
      <c r="AQ580" s="88"/>
      <c r="AR580" s="88"/>
    </row>
    <row r="581" ht="19.5" customHeight="1">
      <c r="A581" s="79">
        <v>570.0</v>
      </c>
      <c r="B581" s="95" t="s">
        <v>35</v>
      </c>
      <c r="C581" s="95" t="s">
        <v>4048</v>
      </c>
      <c r="D581" s="95" t="s">
        <v>4055</v>
      </c>
      <c r="E581" s="100" t="s">
        <v>4056</v>
      </c>
      <c r="F581" s="95" t="s">
        <v>81</v>
      </c>
      <c r="G581" s="80" t="s">
        <v>44</v>
      </c>
      <c r="H581" s="80" t="s">
        <v>21</v>
      </c>
      <c r="I581" s="95" t="s">
        <v>4051</v>
      </c>
      <c r="J581" s="80" t="s">
        <v>43</v>
      </c>
      <c r="K581" s="95" t="s">
        <v>4051</v>
      </c>
      <c r="L581" s="82" t="s">
        <v>4057</v>
      </c>
      <c r="M581" s="83">
        <f t="shared" si="1"/>
        <v>50</v>
      </c>
      <c r="N581" s="84">
        <v>50.0</v>
      </c>
      <c r="O581" s="84"/>
      <c r="P581" s="84"/>
      <c r="Q581" s="94">
        <v>2706.0</v>
      </c>
      <c r="R581" s="94">
        <v>499.0</v>
      </c>
      <c r="S581" s="95" t="s">
        <v>350</v>
      </c>
      <c r="T581" s="94">
        <v>1.0</v>
      </c>
      <c r="U581" s="96">
        <v>37358.0</v>
      </c>
      <c r="V581" s="97" t="s">
        <v>4053</v>
      </c>
      <c r="W581" s="97" t="s">
        <v>4054</v>
      </c>
      <c r="X581" s="79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  <c r="AP581" s="88"/>
      <c r="AQ581" s="88"/>
      <c r="AR581" s="88"/>
    </row>
    <row r="582" ht="19.5" customHeight="1">
      <c r="A582" s="79">
        <v>571.0</v>
      </c>
      <c r="B582" s="95" t="s">
        <v>35</v>
      </c>
      <c r="C582" s="95" t="s">
        <v>4048</v>
      </c>
      <c r="D582" s="95" t="s">
        <v>4055</v>
      </c>
      <c r="E582" s="100" t="s">
        <v>4058</v>
      </c>
      <c r="F582" s="95" t="s">
        <v>22</v>
      </c>
      <c r="G582" s="80" t="s">
        <v>12</v>
      </c>
      <c r="H582" s="80" t="s">
        <v>22</v>
      </c>
      <c r="I582" s="95" t="s">
        <v>4059</v>
      </c>
      <c r="J582" s="80" t="s">
        <v>43</v>
      </c>
      <c r="K582" s="95" t="s">
        <v>4059</v>
      </c>
      <c r="L582" s="82" t="s">
        <v>4060</v>
      </c>
      <c r="M582" s="83">
        <f t="shared" si="1"/>
        <v>539</v>
      </c>
      <c r="N582" s="84"/>
      <c r="O582" s="84">
        <v>539.0</v>
      </c>
      <c r="P582" s="84"/>
      <c r="Q582" s="94">
        <v>24750.0</v>
      </c>
      <c r="R582" s="94">
        <v>3812.0</v>
      </c>
      <c r="S582" s="95" t="s">
        <v>4061</v>
      </c>
      <c r="T582" s="94">
        <v>3.0</v>
      </c>
      <c r="U582" s="96">
        <v>35930.0</v>
      </c>
      <c r="V582" s="97"/>
      <c r="W582" s="97"/>
      <c r="X582" s="79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  <c r="AP582" s="88"/>
      <c r="AQ582" s="88"/>
      <c r="AR582" s="88"/>
    </row>
    <row r="583" ht="19.5" customHeight="1">
      <c r="A583" s="79">
        <v>572.0</v>
      </c>
      <c r="B583" s="95" t="s">
        <v>35</v>
      </c>
      <c r="C583" s="95" t="s">
        <v>4048</v>
      </c>
      <c r="D583" s="95" t="s">
        <v>4055</v>
      </c>
      <c r="E583" s="100" t="s">
        <v>4062</v>
      </c>
      <c r="F583" s="95" t="s">
        <v>22</v>
      </c>
      <c r="G583" s="80" t="s">
        <v>12</v>
      </c>
      <c r="H583" s="80" t="s">
        <v>22</v>
      </c>
      <c r="I583" s="95" t="s">
        <v>4063</v>
      </c>
      <c r="J583" s="80" t="s">
        <v>43</v>
      </c>
      <c r="K583" s="95" t="s">
        <v>4063</v>
      </c>
      <c r="L583" s="82" t="s">
        <v>4064</v>
      </c>
      <c r="M583" s="83">
        <f t="shared" si="1"/>
        <v>75</v>
      </c>
      <c r="N583" s="84"/>
      <c r="O583" s="84">
        <v>75.0</v>
      </c>
      <c r="P583" s="84"/>
      <c r="Q583" s="94">
        <v>4632.0</v>
      </c>
      <c r="R583" s="94">
        <v>839.74</v>
      </c>
      <c r="S583" s="95" t="s">
        <v>350</v>
      </c>
      <c r="T583" s="94">
        <v>1.0</v>
      </c>
      <c r="U583" s="96">
        <v>41725.0</v>
      </c>
      <c r="V583" s="97" t="s">
        <v>4065</v>
      </c>
      <c r="W583" s="97" t="s">
        <v>4066</v>
      </c>
      <c r="X583" s="79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  <c r="AP583" s="88"/>
      <c r="AQ583" s="88"/>
      <c r="AR583" s="88"/>
    </row>
    <row r="584" ht="19.5" customHeight="1">
      <c r="A584" s="79">
        <v>573.0</v>
      </c>
      <c r="B584" s="95" t="s">
        <v>35</v>
      </c>
      <c r="C584" s="95" t="s">
        <v>4048</v>
      </c>
      <c r="D584" s="95" t="s">
        <v>4067</v>
      </c>
      <c r="E584" s="100" t="s">
        <v>4068</v>
      </c>
      <c r="F584" s="95" t="s">
        <v>81</v>
      </c>
      <c r="G584" s="80" t="s">
        <v>44</v>
      </c>
      <c r="H584" s="80" t="s">
        <v>21</v>
      </c>
      <c r="I584" s="95" t="s">
        <v>4051</v>
      </c>
      <c r="J584" s="80" t="s">
        <v>43</v>
      </c>
      <c r="K584" s="95" t="s">
        <v>4051</v>
      </c>
      <c r="L584" s="82" t="s">
        <v>4069</v>
      </c>
      <c r="M584" s="83">
        <f t="shared" si="1"/>
        <v>50</v>
      </c>
      <c r="N584" s="84">
        <v>50.0</v>
      </c>
      <c r="O584" s="84"/>
      <c r="P584" s="84"/>
      <c r="Q584" s="94">
        <v>890.0</v>
      </c>
      <c r="R584" s="94">
        <v>244.0</v>
      </c>
      <c r="S584" s="95" t="s">
        <v>103</v>
      </c>
      <c r="T584" s="94">
        <v>1.0</v>
      </c>
      <c r="U584" s="96">
        <v>37060.0</v>
      </c>
      <c r="V584" s="97" t="s">
        <v>4070</v>
      </c>
      <c r="W584" s="97" t="s">
        <v>4054</v>
      </c>
      <c r="X584" s="79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  <c r="AP584" s="88"/>
      <c r="AQ584" s="88"/>
      <c r="AR584" s="88"/>
    </row>
    <row r="585" ht="19.5" customHeight="1">
      <c r="A585" s="79">
        <v>574.0</v>
      </c>
      <c r="B585" s="95" t="s">
        <v>35</v>
      </c>
      <c r="C585" s="95" t="s">
        <v>4048</v>
      </c>
      <c r="D585" s="95" t="s">
        <v>4055</v>
      </c>
      <c r="E585" s="100" t="s">
        <v>4071</v>
      </c>
      <c r="F585" s="95" t="s">
        <v>22</v>
      </c>
      <c r="G585" s="80" t="s">
        <v>46</v>
      </c>
      <c r="H585" s="80" t="s">
        <v>22</v>
      </c>
      <c r="I585" s="95" t="s">
        <v>4072</v>
      </c>
      <c r="J585" s="80" t="s">
        <v>43</v>
      </c>
      <c r="K585" s="95" t="s">
        <v>4072</v>
      </c>
      <c r="L585" s="82" t="s">
        <v>4073</v>
      </c>
      <c r="M585" s="83">
        <f t="shared" si="1"/>
        <v>400</v>
      </c>
      <c r="N585" s="84">
        <v>300.0</v>
      </c>
      <c r="O585" s="84">
        <v>100.0</v>
      </c>
      <c r="P585" s="84"/>
      <c r="Q585" s="94">
        <v>14784.0</v>
      </c>
      <c r="R585" s="94">
        <v>3564.0</v>
      </c>
      <c r="S585" s="95" t="s">
        <v>103</v>
      </c>
      <c r="T585" s="94">
        <v>10.0</v>
      </c>
      <c r="U585" s="96">
        <v>41564.0</v>
      </c>
      <c r="V585" s="97" t="s">
        <v>4074</v>
      </c>
      <c r="W585" s="97" t="s">
        <v>4075</v>
      </c>
      <c r="X585" s="79" t="s">
        <v>4076</v>
      </c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  <c r="AP585" s="88"/>
      <c r="AQ585" s="88"/>
      <c r="AR585" s="88"/>
    </row>
    <row r="586" ht="19.5" customHeight="1">
      <c r="A586" s="79">
        <v>575.0</v>
      </c>
      <c r="B586" s="95" t="s">
        <v>35</v>
      </c>
      <c r="C586" s="95" t="s">
        <v>4048</v>
      </c>
      <c r="D586" s="95" t="s">
        <v>4077</v>
      </c>
      <c r="E586" s="100" t="s">
        <v>4078</v>
      </c>
      <c r="F586" s="95" t="s">
        <v>801</v>
      </c>
      <c r="G586" s="80" t="s">
        <v>46</v>
      </c>
      <c r="H586" s="80" t="s">
        <v>21</v>
      </c>
      <c r="I586" s="95" t="s">
        <v>802</v>
      </c>
      <c r="J586" s="80" t="s">
        <v>45</v>
      </c>
      <c r="K586" s="95" t="s">
        <v>803</v>
      </c>
      <c r="L586" s="82" t="s">
        <v>4079</v>
      </c>
      <c r="M586" s="83">
        <f t="shared" si="1"/>
        <v>308</v>
      </c>
      <c r="N586" s="84"/>
      <c r="O586" s="84">
        <v>308.0</v>
      </c>
      <c r="P586" s="84"/>
      <c r="Q586" s="94">
        <v>37932.0</v>
      </c>
      <c r="R586" s="94">
        <v>11892.0</v>
      </c>
      <c r="S586" s="95" t="s">
        <v>314</v>
      </c>
      <c r="T586" s="94">
        <v>9.0</v>
      </c>
      <c r="U586" s="96">
        <v>41463.0</v>
      </c>
      <c r="V586" s="97" t="s">
        <v>4080</v>
      </c>
      <c r="W586" s="97" t="s">
        <v>4081</v>
      </c>
      <c r="X586" s="79" t="s">
        <v>4082</v>
      </c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  <c r="AP586" s="88"/>
      <c r="AQ586" s="88"/>
      <c r="AR586" s="88"/>
    </row>
    <row r="587" ht="19.5" customHeight="1">
      <c r="A587" s="79">
        <v>576.0</v>
      </c>
      <c r="B587" s="95" t="s">
        <v>35</v>
      </c>
      <c r="C587" s="95" t="s">
        <v>4083</v>
      </c>
      <c r="D587" s="95" t="s">
        <v>4084</v>
      </c>
      <c r="E587" s="100" t="s">
        <v>4085</v>
      </c>
      <c r="F587" s="95" t="s">
        <v>81</v>
      </c>
      <c r="G587" s="80" t="s">
        <v>44</v>
      </c>
      <c r="H587" s="80" t="s">
        <v>21</v>
      </c>
      <c r="I587" s="95" t="s">
        <v>4086</v>
      </c>
      <c r="J587" s="80" t="s">
        <v>45</v>
      </c>
      <c r="K587" s="95" t="s">
        <v>760</v>
      </c>
      <c r="L587" s="82" t="s">
        <v>4087</v>
      </c>
      <c r="M587" s="83">
        <f t="shared" si="1"/>
        <v>100</v>
      </c>
      <c r="N587" s="84">
        <v>100.0</v>
      </c>
      <c r="O587" s="84"/>
      <c r="P587" s="84"/>
      <c r="Q587" s="94">
        <v>1319.0</v>
      </c>
      <c r="R587" s="94">
        <v>656.0</v>
      </c>
      <c r="S587" s="95" t="s">
        <v>350</v>
      </c>
      <c r="T587" s="94">
        <v>2.0</v>
      </c>
      <c r="U587" s="96">
        <v>36571.0</v>
      </c>
      <c r="V587" s="97" t="s">
        <v>4088</v>
      </c>
      <c r="W587" s="97" t="s">
        <v>4089</v>
      </c>
      <c r="X587" s="79" t="s">
        <v>4090</v>
      </c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  <c r="AP587" s="88"/>
      <c r="AQ587" s="88"/>
      <c r="AR587" s="88"/>
    </row>
    <row r="588" ht="19.5" customHeight="1">
      <c r="A588" s="79">
        <v>577.0</v>
      </c>
      <c r="B588" s="95" t="s">
        <v>35</v>
      </c>
      <c r="C588" s="95" t="s">
        <v>4083</v>
      </c>
      <c r="D588" s="95" t="s">
        <v>4091</v>
      </c>
      <c r="E588" s="100" t="s">
        <v>4092</v>
      </c>
      <c r="F588" s="95" t="s">
        <v>81</v>
      </c>
      <c r="G588" s="80" t="s">
        <v>42</v>
      </c>
      <c r="H588" s="80" t="s">
        <v>21</v>
      </c>
      <c r="I588" s="95" t="s">
        <v>4086</v>
      </c>
      <c r="J588" s="80" t="s">
        <v>45</v>
      </c>
      <c r="K588" s="95" t="s">
        <v>760</v>
      </c>
      <c r="L588" s="82" t="s">
        <v>4093</v>
      </c>
      <c r="M588" s="83">
        <f t="shared" si="1"/>
        <v>300</v>
      </c>
      <c r="N588" s="84">
        <v>300.0</v>
      </c>
      <c r="O588" s="84"/>
      <c r="P588" s="84"/>
      <c r="Q588" s="94">
        <v>6625.0</v>
      </c>
      <c r="R588" s="94">
        <v>2648.0</v>
      </c>
      <c r="S588" s="95" t="s">
        <v>314</v>
      </c>
      <c r="T588" s="94">
        <v>1.0</v>
      </c>
      <c r="U588" s="96">
        <v>43341.0</v>
      </c>
      <c r="V588" s="97" t="s">
        <v>4094</v>
      </c>
      <c r="W588" s="97" t="s">
        <v>4095</v>
      </c>
      <c r="X588" s="79" t="s">
        <v>4096</v>
      </c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  <c r="AP588" s="88"/>
      <c r="AQ588" s="88"/>
      <c r="AR588" s="88"/>
    </row>
    <row r="589" ht="19.5" customHeight="1">
      <c r="A589" s="79">
        <v>578.0</v>
      </c>
      <c r="B589" s="95" t="s">
        <v>35</v>
      </c>
      <c r="C589" s="95" t="s">
        <v>4083</v>
      </c>
      <c r="D589" s="95" t="s">
        <v>2994</v>
      </c>
      <c r="E589" s="100" t="s">
        <v>4097</v>
      </c>
      <c r="F589" s="95" t="s">
        <v>22</v>
      </c>
      <c r="G589" s="80" t="s">
        <v>46</v>
      </c>
      <c r="H589" s="80" t="s">
        <v>22</v>
      </c>
      <c r="I589" s="95" t="s">
        <v>4098</v>
      </c>
      <c r="J589" s="80" t="s">
        <v>43</v>
      </c>
      <c r="K589" s="95" t="s">
        <v>4098</v>
      </c>
      <c r="L589" s="82" t="s">
        <v>4099</v>
      </c>
      <c r="M589" s="83">
        <f t="shared" si="1"/>
        <v>499</v>
      </c>
      <c r="N589" s="84"/>
      <c r="O589" s="84">
        <v>499.0</v>
      </c>
      <c r="P589" s="84"/>
      <c r="Q589" s="94">
        <v>18054.0</v>
      </c>
      <c r="R589" s="94">
        <v>8565.0</v>
      </c>
      <c r="S589" s="95" t="s">
        <v>1711</v>
      </c>
      <c r="T589" s="94">
        <v>8.0</v>
      </c>
      <c r="U589" s="96">
        <v>37446.0</v>
      </c>
      <c r="V589" s="97" t="s">
        <v>4100</v>
      </c>
      <c r="W589" s="97" t="s">
        <v>4101</v>
      </c>
      <c r="X589" s="79" t="s">
        <v>4102</v>
      </c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  <c r="AP589" s="88"/>
      <c r="AQ589" s="88"/>
      <c r="AR589" s="88"/>
    </row>
    <row r="590" ht="19.5" customHeight="1">
      <c r="A590" s="79">
        <v>579.0</v>
      </c>
      <c r="B590" s="95" t="s">
        <v>35</v>
      </c>
      <c r="C590" s="95" t="s">
        <v>4103</v>
      </c>
      <c r="D590" s="95" t="s">
        <v>4104</v>
      </c>
      <c r="E590" s="100" t="s">
        <v>4105</v>
      </c>
      <c r="F590" s="95" t="s">
        <v>687</v>
      </c>
      <c r="G590" s="80" t="s">
        <v>42</v>
      </c>
      <c r="H590" s="80" t="s">
        <v>21</v>
      </c>
      <c r="I590" s="95" t="s">
        <v>4106</v>
      </c>
      <c r="J590" s="80" t="s">
        <v>45</v>
      </c>
      <c r="K590" s="91" t="s">
        <v>4107</v>
      </c>
      <c r="L590" s="82" t="s">
        <v>4108</v>
      </c>
      <c r="M590" s="83">
        <f t="shared" si="1"/>
        <v>300</v>
      </c>
      <c r="N590" s="84">
        <v>300.0</v>
      </c>
      <c r="O590" s="84">
        <v>0.0</v>
      </c>
      <c r="P590" s="84">
        <v>0.0</v>
      </c>
      <c r="Q590" s="94">
        <v>6600.0</v>
      </c>
      <c r="R590" s="94">
        <v>3581.0</v>
      </c>
      <c r="S590" s="95" t="s">
        <v>4109</v>
      </c>
      <c r="T590" s="94">
        <v>1.0</v>
      </c>
      <c r="U590" s="96">
        <v>38727.0</v>
      </c>
      <c r="V590" s="97" t="s">
        <v>4110</v>
      </c>
      <c r="W590" s="97" t="s">
        <v>4111</v>
      </c>
      <c r="X590" s="79" t="s">
        <v>4112</v>
      </c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  <c r="AP590" s="88"/>
      <c r="AQ590" s="88"/>
      <c r="AR590" s="88"/>
    </row>
    <row r="591" ht="19.5" customHeight="1">
      <c r="A591" s="79">
        <v>580.0</v>
      </c>
      <c r="B591" s="95" t="s">
        <v>35</v>
      </c>
      <c r="C591" s="95" t="s">
        <v>4103</v>
      </c>
      <c r="D591" s="95" t="s">
        <v>4104</v>
      </c>
      <c r="E591" s="100" t="s">
        <v>4113</v>
      </c>
      <c r="F591" s="95" t="s">
        <v>22</v>
      </c>
      <c r="G591" s="80" t="s">
        <v>46</v>
      </c>
      <c r="H591" s="80" t="s">
        <v>22</v>
      </c>
      <c r="I591" s="95" t="s">
        <v>4114</v>
      </c>
      <c r="J591" s="80" t="s">
        <v>43</v>
      </c>
      <c r="K591" s="91"/>
      <c r="L591" s="82" t="s">
        <v>4115</v>
      </c>
      <c r="M591" s="83">
        <f t="shared" si="1"/>
        <v>355</v>
      </c>
      <c r="N591" s="84">
        <v>0.0</v>
      </c>
      <c r="O591" s="84">
        <v>355.0</v>
      </c>
      <c r="P591" s="84">
        <v>0.0</v>
      </c>
      <c r="Q591" s="94">
        <v>23791.0</v>
      </c>
      <c r="R591" s="94">
        <v>3010.0</v>
      </c>
      <c r="S591" s="95" t="s">
        <v>314</v>
      </c>
      <c r="T591" s="94">
        <v>7.0</v>
      </c>
      <c r="U591" s="96">
        <v>39791.0</v>
      </c>
      <c r="V591" s="97" t="s">
        <v>4116</v>
      </c>
      <c r="W591" s="97" t="s">
        <v>4117</v>
      </c>
      <c r="X591" s="79" t="s">
        <v>4118</v>
      </c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  <c r="AP591" s="88"/>
      <c r="AQ591" s="88"/>
      <c r="AR591" s="88"/>
    </row>
    <row r="592" ht="19.5" customHeight="1">
      <c r="A592" s="79">
        <v>581.0</v>
      </c>
      <c r="B592" s="95" t="s">
        <v>35</v>
      </c>
      <c r="C592" s="95" t="s">
        <v>4103</v>
      </c>
      <c r="D592" s="95" t="s">
        <v>4119</v>
      </c>
      <c r="E592" s="100" t="s">
        <v>4120</v>
      </c>
      <c r="F592" s="95" t="s">
        <v>687</v>
      </c>
      <c r="G592" s="80" t="s">
        <v>44</v>
      </c>
      <c r="H592" s="80" t="s">
        <v>21</v>
      </c>
      <c r="I592" s="95" t="s">
        <v>4106</v>
      </c>
      <c r="J592" s="80" t="s">
        <v>45</v>
      </c>
      <c r="K592" s="95" t="s">
        <v>4121</v>
      </c>
      <c r="L592" s="82" t="s">
        <v>4122</v>
      </c>
      <c r="M592" s="83">
        <f t="shared" si="1"/>
        <v>70</v>
      </c>
      <c r="N592" s="84">
        <v>70.0</v>
      </c>
      <c r="O592" s="84">
        <v>0.0</v>
      </c>
      <c r="P592" s="84">
        <v>0.0</v>
      </c>
      <c r="Q592" s="94">
        <v>1735.0</v>
      </c>
      <c r="R592" s="94">
        <v>563.28</v>
      </c>
      <c r="S592" s="95" t="s">
        <v>4123</v>
      </c>
      <c r="T592" s="94">
        <v>1.0</v>
      </c>
      <c r="U592" s="96">
        <v>38200.0</v>
      </c>
      <c r="V592" s="97" t="s">
        <v>4124</v>
      </c>
      <c r="W592" s="97" t="s">
        <v>4125</v>
      </c>
      <c r="X592" s="79" t="s">
        <v>4126</v>
      </c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  <c r="AP592" s="88"/>
      <c r="AQ592" s="88"/>
      <c r="AR592" s="88"/>
    </row>
    <row r="593" ht="19.5" customHeight="1">
      <c r="A593" s="79">
        <v>582.0</v>
      </c>
      <c r="B593" s="95" t="s">
        <v>35</v>
      </c>
      <c r="C593" s="95" t="s">
        <v>4103</v>
      </c>
      <c r="D593" s="95" t="s">
        <v>4119</v>
      </c>
      <c r="E593" s="100" t="s">
        <v>4127</v>
      </c>
      <c r="F593" s="95" t="s">
        <v>801</v>
      </c>
      <c r="G593" s="80" t="s">
        <v>46</v>
      </c>
      <c r="H593" s="80" t="s">
        <v>21</v>
      </c>
      <c r="I593" s="95" t="s">
        <v>802</v>
      </c>
      <c r="J593" s="80" t="s">
        <v>45</v>
      </c>
      <c r="K593" s="95" t="s">
        <v>4128</v>
      </c>
      <c r="L593" s="82" t="s">
        <v>4129</v>
      </c>
      <c r="M593" s="83">
        <f t="shared" si="1"/>
        <v>64</v>
      </c>
      <c r="N593" s="84">
        <v>0.0</v>
      </c>
      <c r="O593" s="84">
        <v>64.0</v>
      </c>
      <c r="P593" s="84">
        <v>0.0</v>
      </c>
      <c r="Q593" s="94">
        <v>8573.0</v>
      </c>
      <c r="R593" s="94">
        <v>2783.0</v>
      </c>
      <c r="S593" s="95" t="s">
        <v>4130</v>
      </c>
      <c r="T593" s="94">
        <v>3.0</v>
      </c>
      <c r="U593" s="96">
        <v>41859.0</v>
      </c>
      <c r="V593" s="97" t="s">
        <v>4131</v>
      </c>
      <c r="W593" s="97" t="s">
        <v>4132</v>
      </c>
      <c r="X593" s="79" t="s">
        <v>4133</v>
      </c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  <c r="AP593" s="88"/>
      <c r="AQ593" s="88"/>
      <c r="AR593" s="88"/>
    </row>
    <row r="594" ht="19.5" customHeight="1">
      <c r="A594" s="79">
        <v>583.0</v>
      </c>
      <c r="B594" s="95" t="s">
        <v>35</v>
      </c>
      <c r="C594" s="95" t="s">
        <v>4103</v>
      </c>
      <c r="D594" s="95" t="s">
        <v>4134</v>
      </c>
      <c r="E594" s="100" t="s">
        <v>4135</v>
      </c>
      <c r="F594" s="95" t="s">
        <v>22</v>
      </c>
      <c r="G594" s="80" t="s">
        <v>46</v>
      </c>
      <c r="H594" s="80" t="s">
        <v>22</v>
      </c>
      <c r="I594" s="95" t="s">
        <v>4136</v>
      </c>
      <c r="J594" s="80" t="s">
        <v>43</v>
      </c>
      <c r="K594" s="95"/>
      <c r="L594" s="82" t="s">
        <v>4137</v>
      </c>
      <c r="M594" s="83">
        <f t="shared" si="1"/>
        <v>500</v>
      </c>
      <c r="N594" s="84">
        <v>0.0</v>
      </c>
      <c r="O594" s="84">
        <v>500.0</v>
      </c>
      <c r="P594" s="84">
        <v>0.0</v>
      </c>
      <c r="Q594" s="94">
        <v>35700.0</v>
      </c>
      <c r="R594" s="94">
        <v>10572.0</v>
      </c>
      <c r="S594" s="95" t="s">
        <v>103</v>
      </c>
      <c r="T594" s="94">
        <v>1.0</v>
      </c>
      <c r="U594" s="96">
        <v>44011.0</v>
      </c>
      <c r="V594" s="97" t="s">
        <v>4138</v>
      </c>
      <c r="W594" s="97" t="s">
        <v>4139</v>
      </c>
      <c r="X594" s="79" t="s">
        <v>4140</v>
      </c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  <c r="AP594" s="88"/>
      <c r="AQ594" s="88"/>
      <c r="AR594" s="88"/>
    </row>
    <row r="595" ht="19.5" customHeight="1">
      <c r="A595" s="79">
        <v>584.0</v>
      </c>
      <c r="B595" s="95" t="s">
        <v>35</v>
      </c>
      <c r="C595" s="95" t="s">
        <v>4103</v>
      </c>
      <c r="D595" s="95" t="s">
        <v>4134</v>
      </c>
      <c r="E595" s="100" t="s">
        <v>4141</v>
      </c>
      <c r="F595" s="95" t="s">
        <v>687</v>
      </c>
      <c r="G595" s="80" t="s">
        <v>48</v>
      </c>
      <c r="H595" s="80" t="s">
        <v>21</v>
      </c>
      <c r="I595" s="95" t="s">
        <v>4106</v>
      </c>
      <c r="J595" s="80" t="s">
        <v>43</v>
      </c>
      <c r="K595" s="95" t="s">
        <v>4142</v>
      </c>
      <c r="L595" s="82" t="s">
        <v>4143</v>
      </c>
      <c r="M595" s="83">
        <f t="shared" si="1"/>
        <v>208</v>
      </c>
      <c r="N595" s="84">
        <v>0.0</v>
      </c>
      <c r="O595" s="84">
        <v>0.0</v>
      </c>
      <c r="P595" s="84">
        <v>208.0</v>
      </c>
      <c r="Q595" s="94">
        <v>21713.0</v>
      </c>
      <c r="R595" s="94">
        <v>1119.76</v>
      </c>
      <c r="S595" s="95" t="s">
        <v>704</v>
      </c>
      <c r="T595" s="94">
        <v>1.0</v>
      </c>
      <c r="U595" s="96">
        <v>39983.0</v>
      </c>
      <c r="V595" s="97" t="s">
        <v>4144</v>
      </c>
      <c r="W595" s="97" t="s">
        <v>4145</v>
      </c>
      <c r="X595" s="79" t="s">
        <v>4146</v>
      </c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  <c r="AP595" s="88"/>
      <c r="AQ595" s="88"/>
      <c r="AR595" s="88"/>
    </row>
    <row r="596" ht="19.5" customHeight="1">
      <c r="A596" s="79">
        <v>585.0</v>
      </c>
      <c r="B596" s="95" t="s">
        <v>35</v>
      </c>
      <c r="C596" s="95" t="s">
        <v>4103</v>
      </c>
      <c r="D596" s="95" t="s">
        <v>4134</v>
      </c>
      <c r="E596" s="100" t="s">
        <v>4147</v>
      </c>
      <c r="F596" s="95" t="s">
        <v>687</v>
      </c>
      <c r="G596" s="80" t="s">
        <v>46</v>
      </c>
      <c r="H596" s="80" t="s">
        <v>21</v>
      </c>
      <c r="I596" s="95" t="s">
        <v>4106</v>
      </c>
      <c r="J596" s="80" t="s">
        <v>43</v>
      </c>
      <c r="K596" s="95" t="s">
        <v>4142</v>
      </c>
      <c r="L596" s="82" t="s">
        <v>4143</v>
      </c>
      <c r="M596" s="83">
        <f t="shared" si="1"/>
        <v>320</v>
      </c>
      <c r="N596" s="84">
        <v>0.0</v>
      </c>
      <c r="O596" s="84">
        <v>320.0</v>
      </c>
      <c r="P596" s="84">
        <v>0.0</v>
      </c>
      <c r="Q596" s="94">
        <v>5986.0</v>
      </c>
      <c r="R596" s="94">
        <v>3782.43</v>
      </c>
      <c r="S596" s="95" t="s">
        <v>103</v>
      </c>
      <c r="T596" s="94">
        <v>2.0</v>
      </c>
      <c r="U596" s="96">
        <v>41137.0</v>
      </c>
      <c r="V596" s="97" t="s">
        <v>4148</v>
      </c>
      <c r="W596" s="97" t="s">
        <v>4145</v>
      </c>
      <c r="X596" s="79" t="s">
        <v>4149</v>
      </c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  <c r="AP596" s="88"/>
      <c r="AQ596" s="88"/>
      <c r="AR596" s="88"/>
    </row>
    <row r="597" ht="19.5" customHeight="1">
      <c r="A597" s="79">
        <v>586.0</v>
      </c>
      <c r="B597" s="95" t="s">
        <v>35</v>
      </c>
      <c r="C597" s="95" t="s">
        <v>4150</v>
      </c>
      <c r="D597" s="95" t="s">
        <v>4151</v>
      </c>
      <c r="E597" s="100" t="s">
        <v>4152</v>
      </c>
      <c r="F597" s="95" t="s">
        <v>22</v>
      </c>
      <c r="G597" s="80" t="s">
        <v>46</v>
      </c>
      <c r="H597" s="80" t="s">
        <v>22</v>
      </c>
      <c r="I597" s="95" t="s">
        <v>4153</v>
      </c>
      <c r="J597" s="80" t="s">
        <v>43</v>
      </c>
      <c r="K597" s="95"/>
      <c r="L597" s="82" t="s">
        <v>4154</v>
      </c>
      <c r="M597" s="83">
        <f t="shared" si="1"/>
        <v>128</v>
      </c>
      <c r="N597" s="84">
        <v>0.0</v>
      </c>
      <c r="O597" s="84">
        <v>128.0</v>
      </c>
      <c r="P597" s="84">
        <v>0.0</v>
      </c>
      <c r="Q597" s="94">
        <v>32998.0</v>
      </c>
      <c r="R597" s="94">
        <v>1983.0</v>
      </c>
      <c r="S597" s="95" t="s">
        <v>103</v>
      </c>
      <c r="T597" s="94">
        <v>1.0</v>
      </c>
      <c r="U597" s="96">
        <v>36342.0</v>
      </c>
      <c r="V597" s="97" t="s">
        <v>4155</v>
      </c>
      <c r="W597" s="97" t="s">
        <v>4156</v>
      </c>
      <c r="X597" s="79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  <c r="AP597" s="88"/>
      <c r="AQ597" s="88"/>
      <c r="AR597" s="88"/>
    </row>
    <row r="598" ht="19.5" customHeight="1">
      <c r="A598" s="79">
        <v>587.0</v>
      </c>
      <c r="B598" s="95" t="s">
        <v>35</v>
      </c>
      <c r="C598" s="95" t="s">
        <v>4150</v>
      </c>
      <c r="D598" s="95" t="s">
        <v>4151</v>
      </c>
      <c r="E598" s="100" t="s">
        <v>4157</v>
      </c>
      <c r="F598" s="95" t="s">
        <v>687</v>
      </c>
      <c r="G598" s="80" t="s">
        <v>46</v>
      </c>
      <c r="H598" s="80" t="s">
        <v>21</v>
      </c>
      <c r="I598" s="95" t="s">
        <v>4158</v>
      </c>
      <c r="J598" s="80" t="s">
        <v>43</v>
      </c>
      <c r="K598" s="95"/>
      <c r="L598" s="82" t="s">
        <v>4159</v>
      </c>
      <c r="M598" s="83">
        <f t="shared" si="1"/>
        <v>288</v>
      </c>
      <c r="N598" s="84"/>
      <c r="O598" s="84">
        <v>288.0</v>
      </c>
      <c r="P598" s="84"/>
      <c r="Q598" s="94">
        <v>30000.0</v>
      </c>
      <c r="R598" s="94">
        <v>4701.0</v>
      </c>
      <c r="S598" s="95" t="s">
        <v>103</v>
      </c>
      <c r="T598" s="94">
        <v>1.0</v>
      </c>
      <c r="U598" s="96">
        <v>41976.0</v>
      </c>
      <c r="V598" s="97" t="s">
        <v>4160</v>
      </c>
      <c r="W598" s="97" t="s">
        <v>4161</v>
      </c>
      <c r="X598" s="79" t="s">
        <v>4162</v>
      </c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  <c r="AP598" s="88"/>
      <c r="AQ598" s="88"/>
      <c r="AR598" s="88"/>
    </row>
    <row r="599" ht="19.5" customHeight="1">
      <c r="A599" s="79">
        <v>588.0</v>
      </c>
      <c r="B599" s="95" t="s">
        <v>35</v>
      </c>
      <c r="C599" s="95" t="s">
        <v>4150</v>
      </c>
      <c r="D599" s="95" t="s">
        <v>4163</v>
      </c>
      <c r="E599" s="100" t="s">
        <v>4164</v>
      </c>
      <c r="F599" s="95" t="s">
        <v>687</v>
      </c>
      <c r="G599" s="80" t="s">
        <v>44</v>
      </c>
      <c r="H599" s="80" t="s">
        <v>21</v>
      </c>
      <c r="I599" s="95" t="s">
        <v>4158</v>
      </c>
      <c r="J599" s="80" t="s">
        <v>43</v>
      </c>
      <c r="K599" s="95"/>
      <c r="L599" s="82" t="s">
        <v>4165</v>
      </c>
      <c r="M599" s="83">
        <f t="shared" si="1"/>
        <v>70</v>
      </c>
      <c r="N599" s="84">
        <v>70.0</v>
      </c>
      <c r="O599" s="84"/>
      <c r="P599" s="84"/>
      <c r="Q599" s="94">
        <v>2546.0</v>
      </c>
      <c r="R599" s="94">
        <v>690.0</v>
      </c>
      <c r="S599" s="95" t="s">
        <v>350</v>
      </c>
      <c r="T599" s="94">
        <v>1.0</v>
      </c>
      <c r="U599" s="96">
        <v>37614.0</v>
      </c>
      <c r="V599" s="97" t="s">
        <v>4166</v>
      </c>
      <c r="W599" s="97" t="s">
        <v>4167</v>
      </c>
      <c r="X599" s="79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  <c r="AP599" s="88"/>
      <c r="AQ599" s="88"/>
      <c r="AR599" s="88"/>
    </row>
    <row r="600" ht="19.5" customHeight="1">
      <c r="A600" s="79">
        <v>589.0</v>
      </c>
      <c r="B600" s="95" t="s">
        <v>35</v>
      </c>
      <c r="C600" s="95" t="s">
        <v>4150</v>
      </c>
      <c r="D600" s="95" t="s">
        <v>4168</v>
      </c>
      <c r="E600" s="100" t="s">
        <v>4169</v>
      </c>
      <c r="F600" s="95" t="s">
        <v>687</v>
      </c>
      <c r="G600" s="80" t="s">
        <v>49</v>
      </c>
      <c r="H600" s="80" t="s">
        <v>21</v>
      </c>
      <c r="I600" s="95" t="s">
        <v>4158</v>
      </c>
      <c r="J600" s="80" t="s">
        <v>43</v>
      </c>
      <c r="K600" s="95"/>
      <c r="L600" s="82" t="s">
        <v>4170</v>
      </c>
      <c r="M600" s="83">
        <f t="shared" si="1"/>
        <v>34</v>
      </c>
      <c r="N600" s="84"/>
      <c r="O600" s="84">
        <v>34.0</v>
      </c>
      <c r="P600" s="84"/>
      <c r="Q600" s="94">
        <v>8075.0</v>
      </c>
      <c r="R600" s="94">
        <v>768.77</v>
      </c>
      <c r="S600" s="95" t="s">
        <v>2489</v>
      </c>
      <c r="T600" s="94">
        <v>4.0</v>
      </c>
      <c r="U600" s="96">
        <v>40890.0</v>
      </c>
      <c r="V600" s="97" t="s">
        <v>4171</v>
      </c>
      <c r="W600" s="97" t="s">
        <v>4172</v>
      </c>
      <c r="X600" s="79" t="s">
        <v>4173</v>
      </c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  <c r="AP600" s="88"/>
      <c r="AQ600" s="88"/>
      <c r="AR600" s="88"/>
    </row>
    <row r="601" ht="19.5" customHeight="1">
      <c r="A601" s="79">
        <v>590.0</v>
      </c>
      <c r="B601" s="95" t="s">
        <v>35</v>
      </c>
      <c r="C601" s="95" t="s">
        <v>4174</v>
      </c>
      <c r="D601" s="95" t="s">
        <v>4175</v>
      </c>
      <c r="E601" s="100" t="s">
        <v>4176</v>
      </c>
      <c r="F601" s="95" t="s">
        <v>687</v>
      </c>
      <c r="G601" s="80" t="s">
        <v>42</v>
      </c>
      <c r="H601" s="80" t="s">
        <v>21</v>
      </c>
      <c r="I601" s="95" t="s">
        <v>4177</v>
      </c>
      <c r="J601" s="80" t="s">
        <v>45</v>
      </c>
      <c r="K601" s="95" t="s">
        <v>4178</v>
      </c>
      <c r="L601" s="82" t="s">
        <v>4179</v>
      </c>
      <c r="M601" s="83">
        <f t="shared" si="1"/>
        <v>250</v>
      </c>
      <c r="N601" s="84">
        <v>250.0</v>
      </c>
      <c r="O601" s="84"/>
      <c r="P601" s="84"/>
      <c r="Q601" s="94">
        <v>5826.0</v>
      </c>
      <c r="R601" s="94">
        <v>2970.0</v>
      </c>
      <c r="S601" s="95" t="s">
        <v>4180</v>
      </c>
      <c r="T601" s="94">
        <v>1.0</v>
      </c>
      <c r="U601" s="96">
        <v>39444.0</v>
      </c>
      <c r="V601" s="97" t="s">
        <v>4181</v>
      </c>
      <c r="W601" s="97" t="s">
        <v>4182</v>
      </c>
      <c r="X601" s="79" t="s">
        <v>4183</v>
      </c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  <c r="AP601" s="88"/>
      <c r="AQ601" s="88"/>
      <c r="AR601" s="88"/>
    </row>
    <row r="602" ht="19.5" customHeight="1">
      <c r="A602" s="79">
        <v>591.0</v>
      </c>
      <c r="B602" s="95" t="s">
        <v>35</v>
      </c>
      <c r="C602" s="95" t="s">
        <v>4174</v>
      </c>
      <c r="D602" s="95" t="s">
        <v>4175</v>
      </c>
      <c r="E602" s="100" t="s">
        <v>4184</v>
      </c>
      <c r="F602" s="95" t="s">
        <v>687</v>
      </c>
      <c r="G602" s="80" t="s">
        <v>44</v>
      </c>
      <c r="H602" s="80" t="s">
        <v>21</v>
      </c>
      <c r="I602" s="95" t="s">
        <v>4177</v>
      </c>
      <c r="J602" s="80" t="s">
        <v>45</v>
      </c>
      <c r="K602" s="95" t="s">
        <v>4178</v>
      </c>
      <c r="L602" s="82" t="s">
        <v>4185</v>
      </c>
      <c r="M602" s="83">
        <f t="shared" si="1"/>
        <v>100</v>
      </c>
      <c r="N602" s="84">
        <v>100.0</v>
      </c>
      <c r="O602" s="84"/>
      <c r="P602" s="84"/>
      <c r="Q602" s="94">
        <v>1371.53</v>
      </c>
      <c r="R602" s="94">
        <v>569.18</v>
      </c>
      <c r="S602" s="95" t="s">
        <v>3473</v>
      </c>
      <c r="T602" s="94">
        <v>1.0</v>
      </c>
      <c r="U602" s="96">
        <v>42430.0</v>
      </c>
      <c r="V602" s="97" t="s">
        <v>4186</v>
      </c>
      <c r="W602" s="97" t="s">
        <v>4187</v>
      </c>
      <c r="X602" s="79" t="s">
        <v>3816</v>
      </c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  <c r="AP602" s="88"/>
      <c r="AQ602" s="88"/>
      <c r="AR602" s="88"/>
    </row>
    <row r="603" ht="19.5" customHeight="1">
      <c r="A603" s="79">
        <v>592.0</v>
      </c>
      <c r="B603" s="95" t="s">
        <v>35</v>
      </c>
      <c r="C603" s="95" t="s">
        <v>4174</v>
      </c>
      <c r="D603" s="95" t="s">
        <v>4188</v>
      </c>
      <c r="E603" s="100" t="s">
        <v>4189</v>
      </c>
      <c r="F603" s="95" t="s">
        <v>687</v>
      </c>
      <c r="G603" s="80" t="s">
        <v>44</v>
      </c>
      <c r="H603" s="80" t="s">
        <v>21</v>
      </c>
      <c r="I603" s="95" t="s">
        <v>4177</v>
      </c>
      <c r="J603" s="80" t="s">
        <v>45</v>
      </c>
      <c r="K603" s="95" t="s">
        <v>4178</v>
      </c>
      <c r="L603" s="82" t="s">
        <v>4190</v>
      </c>
      <c r="M603" s="83">
        <f t="shared" si="1"/>
        <v>100</v>
      </c>
      <c r="N603" s="84">
        <v>100.0</v>
      </c>
      <c r="O603" s="84"/>
      <c r="P603" s="84"/>
      <c r="Q603" s="94">
        <v>2349.0</v>
      </c>
      <c r="R603" s="94">
        <v>448.8</v>
      </c>
      <c r="S603" s="95" t="s">
        <v>3473</v>
      </c>
      <c r="T603" s="94">
        <v>1.0</v>
      </c>
      <c r="U603" s="96">
        <v>44287.0</v>
      </c>
      <c r="V603" s="97" t="s">
        <v>4191</v>
      </c>
      <c r="W603" s="97" t="s">
        <v>4192</v>
      </c>
      <c r="X603" s="79" t="s">
        <v>3816</v>
      </c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  <c r="AP603" s="88"/>
      <c r="AQ603" s="88"/>
      <c r="AR603" s="88"/>
    </row>
    <row r="604" ht="19.5" customHeight="1">
      <c r="A604" s="79">
        <v>593.0</v>
      </c>
      <c r="B604" s="95" t="s">
        <v>35</v>
      </c>
      <c r="C604" s="95" t="s">
        <v>4193</v>
      </c>
      <c r="D604" s="95" t="s">
        <v>4194</v>
      </c>
      <c r="E604" s="100" t="s">
        <v>4195</v>
      </c>
      <c r="F604" s="95" t="s">
        <v>22</v>
      </c>
      <c r="G604" s="80" t="s">
        <v>12</v>
      </c>
      <c r="H604" s="80" t="s">
        <v>22</v>
      </c>
      <c r="I604" s="95" t="s">
        <v>4196</v>
      </c>
      <c r="J604" s="80" t="s">
        <v>43</v>
      </c>
      <c r="K604" s="95" t="s">
        <v>4197</v>
      </c>
      <c r="L604" s="82" t="s">
        <v>4198</v>
      </c>
      <c r="M604" s="83">
        <f t="shared" si="1"/>
        <v>370</v>
      </c>
      <c r="N604" s="84"/>
      <c r="O604" s="84">
        <v>370.0</v>
      </c>
      <c r="P604" s="84"/>
      <c r="Q604" s="94">
        <v>7784.0</v>
      </c>
      <c r="R604" s="94">
        <v>6525.0</v>
      </c>
      <c r="S604" s="95" t="s">
        <v>103</v>
      </c>
      <c r="T604" s="94">
        <v>1.0</v>
      </c>
      <c r="U604" s="96">
        <v>41877.0</v>
      </c>
      <c r="V604" s="97" t="s">
        <v>4199</v>
      </c>
      <c r="W604" s="97" t="s">
        <v>4200</v>
      </c>
      <c r="X604" s="79" t="s">
        <v>4201</v>
      </c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  <c r="AP604" s="88"/>
      <c r="AQ604" s="88"/>
      <c r="AR604" s="88"/>
    </row>
    <row r="605" ht="19.5" customHeight="1">
      <c r="A605" s="79">
        <v>594.0</v>
      </c>
      <c r="B605" s="95" t="s">
        <v>35</v>
      </c>
      <c r="C605" s="95" t="s">
        <v>4193</v>
      </c>
      <c r="D605" s="95" t="s">
        <v>4202</v>
      </c>
      <c r="E605" s="100" t="s">
        <v>4203</v>
      </c>
      <c r="F605" s="95" t="s">
        <v>22</v>
      </c>
      <c r="G605" s="80" t="s">
        <v>46</v>
      </c>
      <c r="H605" s="80" t="s">
        <v>22</v>
      </c>
      <c r="I605" s="95" t="s">
        <v>4204</v>
      </c>
      <c r="J605" s="80" t="s">
        <v>43</v>
      </c>
      <c r="K605" s="95" t="s">
        <v>4205</v>
      </c>
      <c r="L605" s="82" t="s">
        <v>4206</v>
      </c>
      <c r="M605" s="83">
        <f t="shared" si="1"/>
        <v>499</v>
      </c>
      <c r="N605" s="84"/>
      <c r="O605" s="84">
        <v>499.0</v>
      </c>
      <c r="P605" s="84"/>
      <c r="Q605" s="94">
        <v>10925.0</v>
      </c>
      <c r="R605" s="94">
        <v>6272.51</v>
      </c>
      <c r="S605" s="95" t="s">
        <v>217</v>
      </c>
      <c r="T605" s="94">
        <v>7.0</v>
      </c>
      <c r="U605" s="96">
        <v>35125.0</v>
      </c>
      <c r="V605" s="97" t="s">
        <v>4207</v>
      </c>
      <c r="W605" s="97" t="s">
        <v>4208</v>
      </c>
      <c r="X605" s="79" t="s">
        <v>4209</v>
      </c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  <c r="AP605" s="88"/>
      <c r="AQ605" s="88"/>
      <c r="AR605" s="88"/>
    </row>
    <row r="606" ht="19.5" customHeight="1">
      <c r="A606" s="79">
        <v>595.0</v>
      </c>
      <c r="B606" s="95" t="s">
        <v>35</v>
      </c>
      <c r="C606" s="95" t="s">
        <v>4193</v>
      </c>
      <c r="D606" s="95" t="s">
        <v>4210</v>
      </c>
      <c r="E606" s="100" t="s">
        <v>4211</v>
      </c>
      <c r="F606" s="95" t="s">
        <v>687</v>
      </c>
      <c r="G606" s="80" t="s">
        <v>44</v>
      </c>
      <c r="H606" s="80" t="s">
        <v>21</v>
      </c>
      <c r="I606" s="95" t="s">
        <v>4212</v>
      </c>
      <c r="J606" s="80" t="s">
        <v>45</v>
      </c>
      <c r="K606" s="95" t="s">
        <v>4213</v>
      </c>
      <c r="L606" s="82" t="s">
        <v>4214</v>
      </c>
      <c r="M606" s="83">
        <f t="shared" si="1"/>
        <v>200</v>
      </c>
      <c r="N606" s="84">
        <v>200.0</v>
      </c>
      <c r="O606" s="84"/>
      <c r="P606" s="84"/>
      <c r="Q606" s="94">
        <v>1122.0</v>
      </c>
      <c r="R606" s="94">
        <v>1022.77</v>
      </c>
      <c r="S606" s="95" t="s">
        <v>314</v>
      </c>
      <c r="T606" s="94">
        <v>1.0</v>
      </c>
      <c r="U606" s="96">
        <v>39216.0</v>
      </c>
      <c r="V606" s="97" t="s">
        <v>4215</v>
      </c>
      <c r="W606" s="97" t="s">
        <v>4216</v>
      </c>
      <c r="X606" s="79" t="s">
        <v>4217</v>
      </c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  <c r="AP606" s="88"/>
      <c r="AQ606" s="88"/>
      <c r="AR606" s="88"/>
    </row>
    <row r="607" ht="19.5" customHeight="1">
      <c r="A607" s="79">
        <v>596.0</v>
      </c>
      <c r="B607" s="95" t="s">
        <v>35</v>
      </c>
      <c r="C607" s="95" t="s">
        <v>4193</v>
      </c>
      <c r="D607" s="95" t="s">
        <v>4218</v>
      </c>
      <c r="E607" s="100" t="s">
        <v>4219</v>
      </c>
      <c r="F607" s="95" t="s">
        <v>687</v>
      </c>
      <c r="G607" s="80" t="s">
        <v>42</v>
      </c>
      <c r="H607" s="80" t="s">
        <v>21</v>
      </c>
      <c r="I607" s="95" t="s">
        <v>4212</v>
      </c>
      <c r="J607" s="80" t="s">
        <v>43</v>
      </c>
      <c r="K607" s="95" t="s">
        <v>4193</v>
      </c>
      <c r="L607" s="82" t="s">
        <v>4220</v>
      </c>
      <c r="M607" s="83">
        <f t="shared" si="1"/>
        <v>150</v>
      </c>
      <c r="N607" s="84">
        <v>150.0</v>
      </c>
      <c r="O607" s="84"/>
      <c r="P607" s="84"/>
      <c r="Q607" s="94">
        <v>7730.0</v>
      </c>
      <c r="R607" s="94">
        <v>3993.0</v>
      </c>
      <c r="S607" s="95" t="s">
        <v>103</v>
      </c>
      <c r="T607" s="94">
        <v>1.0</v>
      </c>
      <c r="U607" s="96">
        <v>38783.0</v>
      </c>
      <c r="V607" s="97" t="s">
        <v>4221</v>
      </c>
      <c r="W607" s="97" t="s">
        <v>4222</v>
      </c>
      <c r="X607" s="79" t="s">
        <v>4217</v>
      </c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  <c r="AP607" s="88"/>
      <c r="AQ607" s="88"/>
      <c r="AR607" s="88"/>
    </row>
    <row r="608" ht="19.5" customHeight="1">
      <c r="A608" s="79">
        <v>597.0</v>
      </c>
      <c r="B608" s="95" t="s">
        <v>35</v>
      </c>
      <c r="C608" s="95" t="s">
        <v>4193</v>
      </c>
      <c r="D608" s="95" t="s">
        <v>4223</v>
      </c>
      <c r="E608" s="100" t="s">
        <v>4224</v>
      </c>
      <c r="F608" s="95" t="s">
        <v>22</v>
      </c>
      <c r="G608" s="80" t="s">
        <v>48</v>
      </c>
      <c r="H608" s="80" t="s">
        <v>22</v>
      </c>
      <c r="I608" s="95" t="s">
        <v>4225</v>
      </c>
      <c r="J608" s="80" t="s">
        <v>43</v>
      </c>
      <c r="K608" s="95" t="s">
        <v>4226</v>
      </c>
      <c r="L608" s="82" t="s">
        <v>4227</v>
      </c>
      <c r="M608" s="83">
        <f t="shared" si="1"/>
        <v>1686</v>
      </c>
      <c r="N608" s="84">
        <v>600.0</v>
      </c>
      <c r="O608" s="84">
        <v>586.0</v>
      </c>
      <c r="P608" s="84">
        <v>500.0</v>
      </c>
      <c r="Q608" s="94">
        <v>47777.0</v>
      </c>
      <c r="R608" s="94">
        <v>5093.57</v>
      </c>
      <c r="S608" s="95" t="s">
        <v>350</v>
      </c>
      <c r="T608" s="94">
        <v>38.0</v>
      </c>
      <c r="U608" s="96">
        <v>34104.0</v>
      </c>
      <c r="V608" s="97" t="s">
        <v>4228</v>
      </c>
      <c r="W608" s="97" t="s">
        <v>4229</v>
      </c>
      <c r="X608" s="79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  <c r="AP608" s="88"/>
      <c r="AQ608" s="88"/>
      <c r="AR608" s="88"/>
    </row>
    <row r="609" ht="19.5" customHeight="1">
      <c r="A609" s="79">
        <v>598.0</v>
      </c>
      <c r="B609" s="95" t="s">
        <v>35</v>
      </c>
      <c r="C609" s="95" t="s">
        <v>4193</v>
      </c>
      <c r="D609" s="95" t="s">
        <v>4230</v>
      </c>
      <c r="E609" s="100" t="s">
        <v>4231</v>
      </c>
      <c r="F609" s="95" t="s">
        <v>687</v>
      </c>
      <c r="G609" s="80" t="s">
        <v>44</v>
      </c>
      <c r="H609" s="80" t="s">
        <v>21</v>
      </c>
      <c r="I609" s="95" t="s">
        <v>4212</v>
      </c>
      <c r="J609" s="80" t="s">
        <v>43</v>
      </c>
      <c r="K609" s="95" t="s">
        <v>4193</v>
      </c>
      <c r="L609" s="82" t="s">
        <v>4232</v>
      </c>
      <c r="M609" s="83">
        <f t="shared" si="1"/>
        <v>100</v>
      </c>
      <c r="N609" s="84">
        <v>100.0</v>
      </c>
      <c r="O609" s="84"/>
      <c r="P609" s="84"/>
      <c r="Q609" s="94">
        <v>12338.0</v>
      </c>
      <c r="R609" s="94">
        <v>379.0</v>
      </c>
      <c r="S609" s="95" t="s">
        <v>704</v>
      </c>
      <c r="T609" s="94">
        <v>1.0</v>
      </c>
      <c r="U609" s="96">
        <v>44399.0</v>
      </c>
      <c r="V609" s="97" t="s">
        <v>4233</v>
      </c>
      <c r="W609" s="97" t="s">
        <v>4234</v>
      </c>
      <c r="X609" s="79" t="s">
        <v>4217</v>
      </c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  <c r="AP609" s="88"/>
      <c r="AQ609" s="88"/>
      <c r="AR609" s="88"/>
    </row>
    <row r="610" ht="19.5" customHeight="1">
      <c r="A610" s="79">
        <v>599.0</v>
      </c>
      <c r="B610" s="95" t="s">
        <v>35</v>
      </c>
      <c r="C610" s="95" t="s">
        <v>4235</v>
      </c>
      <c r="D610" s="95" t="s">
        <v>4236</v>
      </c>
      <c r="E610" s="100" t="s">
        <v>4237</v>
      </c>
      <c r="F610" s="95" t="s">
        <v>81</v>
      </c>
      <c r="G610" s="80" t="s">
        <v>44</v>
      </c>
      <c r="H610" s="80" t="s">
        <v>21</v>
      </c>
      <c r="I610" s="95" t="s">
        <v>4238</v>
      </c>
      <c r="J610" s="80" t="s">
        <v>45</v>
      </c>
      <c r="K610" s="95" t="s">
        <v>760</v>
      </c>
      <c r="L610" s="82" t="s">
        <v>4239</v>
      </c>
      <c r="M610" s="83">
        <f t="shared" si="1"/>
        <v>205</v>
      </c>
      <c r="N610" s="84">
        <v>205.0</v>
      </c>
      <c r="O610" s="84">
        <v>0.0</v>
      </c>
      <c r="P610" s="84">
        <v>0.0</v>
      </c>
      <c r="Q610" s="94">
        <v>2101.0</v>
      </c>
      <c r="R610" s="94">
        <v>1279.0</v>
      </c>
      <c r="S610" s="95" t="s">
        <v>103</v>
      </c>
      <c r="T610" s="94">
        <v>1.0</v>
      </c>
      <c r="U610" s="96" t="s">
        <v>4240</v>
      </c>
      <c r="V610" s="97" t="s">
        <v>4241</v>
      </c>
      <c r="W610" s="97" t="s">
        <v>4242</v>
      </c>
      <c r="X610" s="79" t="s">
        <v>4243</v>
      </c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  <c r="AP610" s="88"/>
      <c r="AQ610" s="88"/>
      <c r="AR610" s="88"/>
    </row>
    <row r="611" ht="19.5" customHeight="1">
      <c r="A611" s="79">
        <v>600.0</v>
      </c>
      <c r="B611" s="95" t="s">
        <v>35</v>
      </c>
      <c r="C611" s="95" t="s">
        <v>4235</v>
      </c>
      <c r="D611" s="95" t="s">
        <v>4244</v>
      </c>
      <c r="E611" s="100" t="s">
        <v>4245</v>
      </c>
      <c r="F611" s="95" t="s">
        <v>81</v>
      </c>
      <c r="G611" s="80" t="s">
        <v>42</v>
      </c>
      <c r="H611" s="80" t="s">
        <v>21</v>
      </c>
      <c r="I611" s="95" t="s">
        <v>4238</v>
      </c>
      <c r="J611" s="80" t="s">
        <v>45</v>
      </c>
      <c r="K611" s="95" t="s">
        <v>4246</v>
      </c>
      <c r="L611" s="82" t="s">
        <v>4247</v>
      </c>
      <c r="M611" s="83">
        <f t="shared" si="1"/>
        <v>500</v>
      </c>
      <c r="N611" s="84">
        <v>500.0</v>
      </c>
      <c r="O611" s="84">
        <v>0.0</v>
      </c>
      <c r="P611" s="84">
        <v>0.0</v>
      </c>
      <c r="Q611" s="94">
        <v>7873.0</v>
      </c>
      <c r="R611" s="94">
        <v>3625.0</v>
      </c>
      <c r="S611" s="95" t="s">
        <v>103</v>
      </c>
      <c r="T611" s="94">
        <v>1.0</v>
      </c>
      <c r="U611" s="96">
        <v>38652.0</v>
      </c>
      <c r="V611" s="97" t="s">
        <v>4248</v>
      </c>
      <c r="W611" s="97" t="s">
        <v>4249</v>
      </c>
      <c r="X611" s="79" t="s">
        <v>4250</v>
      </c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  <c r="AP611" s="88"/>
      <c r="AQ611" s="88"/>
      <c r="AR611" s="88"/>
    </row>
    <row r="612" ht="19.5" customHeight="1">
      <c r="A612" s="79">
        <v>601.0</v>
      </c>
      <c r="B612" s="95" t="s">
        <v>35</v>
      </c>
      <c r="C612" s="95" t="s">
        <v>4235</v>
      </c>
      <c r="D612" s="95" t="s">
        <v>4251</v>
      </c>
      <c r="E612" s="100" t="s">
        <v>4252</v>
      </c>
      <c r="F612" s="95" t="s">
        <v>81</v>
      </c>
      <c r="G612" s="80" t="s">
        <v>12</v>
      </c>
      <c r="H612" s="80" t="s">
        <v>21</v>
      </c>
      <c r="I612" s="95" t="s">
        <v>4238</v>
      </c>
      <c r="J612" s="80" t="s">
        <v>45</v>
      </c>
      <c r="K612" s="95" t="s">
        <v>760</v>
      </c>
      <c r="L612" s="82" t="s">
        <v>4253</v>
      </c>
      <c r="M612" s="83">
        <f t="shared" si="1"/>
        <v>247</v>
      </c>
      <c r="N612" s="84">
        <v>0.0</v>
      </c>
      <c r="O612" s="84">
        <v>247.0</v>
      </c>
      <c r="P612" s="84">
        <v>0.0</v>
      </c>
      <c r="Q612" s="94">
        <v>6612.0</v>
      </c>
      <c r="R612" s="94">
        <v>3787.0</v>
      </c>
      <c r="S612" s="95" t="s">
        <v>103</v>
      </c>
      <c r="T612" s="94">
        <v>1.0</v>
      </c>
      <c r="U612" s="96">
        <v>40949.0</v>
      </c>
      <c r="V612" s="97" t="s">
        <v>4254</v>
      </c>
      <c r="W612" s="97" t="s">
        <v>4255</v>
      </c>
      <c r="X612" s="79" t="s">
        <v>4256</v>
      </c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  <c r="AP612" s="88"/>
      <c r="AQ612" s="88"/>
      <c r="AR612" s="88"/>
    </row>
    <row r="613" ht="19.5" customHeight="1">
      <c r="A613" s="79">
        <v>602.0</v>
      </c>
      <c r="B613" s="95" t="s">
        <v>35</v>
      </c>
      <c r="C613" s="95" t="s">
        <v>4257</v>
      </c>
      <c r="D613" s="95" t="s">
        <v>4258</v>
      </c>
      <c r="E613" s="100" t="s">
        <v>4259</v>
      </c>
      <c r="F613" s="95" t="s">
        <v>687</v>
      </c>
      <c r="G613" s="80" t="s">
        <v>46</v>
      </c>
      <c r="H613" s="80" t="s">
        <v>21</v>
      </c>
      <c r="I613" s="95" t="s">
        <v>4260</v>
      </c>
      <c r="J613" s="80" t="s">
        <v>43</v>
      </c>
      <c r="K613" s="95" t="s">
        <v>4257</v>
      </c>
      <c r="L613" s="82" t="s">
        <v>4261</v>
      </c>
      <c r="M613" s="83">
        <f t="shared" si="1"/>
        <v>421</v>
      </c>
      <c r="N613" s="84"/>
      <c r="O613" s="84">
        <v>421.0</v>
      </c>
      <c r="P613" s="84"/>
      <c r="Q613" s="94">
        <v>15439.0</v>
      </c>
      <c r="R613" s="94">
        <v>6512.0</v>
      </c>
      <c r="S613" s="95" t="s">
        <v>4262</v>
      </c>
      <c r="T613" s="94">
        <v>4.0</v>
      </c>
      <c r="U613" s="96">
        <v>38551.0</v>
      </c>
      <c r="V613" s="97" t="s">
        <v>4263</v>
      </c>
      <c r="W613" s="97" t="s">
        <v>4264</v>
      </c>
      <c r="X613" s="79" t="s">
        <v>4265</v>
      </c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  <c r="AP613" s="88"/>
      <c r="AQ613" s="88"/>
      <c r="AR613" s="88"/>
    </row>
    <row r="614" ht="19.5" customHeight="1">
      <c r="A614" s="79">
        <v>603.0</v>
      </c>
      <c r="B614" s="95" t="s">
        <v>35</v>
      </c>
      <c r="C614" s="95" t="s">
        <v>4257</v>
      </c>
      <c r="D614" s="95" t="s">
        <v>4266</v>
      </c>
      <c r="E614" s="100" t="s">
        <v>4267</v>
      </c>
      <c r="F614" s="95" t="s">
        <v>687</v>
      </c>
      <c r="G614" s="80" t="s">
        <v>44</v>
      </c>
      <c r="H614" s="80" t="s">
        <v>21</v>
      </c>
      <c r="I614" s="95" t="s">
        <v>4260</v>
      </c>
      <c r="J614" s="80" t="s">
        <v>43</v>
      </c>
      <c r="K614" s="95" t="s">
        <v>4257</v>
      </c>
      <c r="L614" s="82" t="s">
        <v>4268</v>
      </c>
      <c r="M614" s="83">
        <f t="shared" si="1"/>
        <v>200</v>
      </c>
      <c r="N614" s="84">
        <v>200.0</v>
      </c>
      <c r="O614" s="84"/>
      <c r="P614" s="84"/>
      <c r="Q614" s="94">
        <v>2270.0</v>
      </c>
      <c r="R614" s="94">
        <v>1540.0</v>
      </c>
      <c r="S614" s="95" t="s">
        <v>4269</v>
      </c>
      <c r="T614" s="94">
        <v>1.0</v>
      </c>
      <c r="U614" s="96">
        <v>43682.0</v>
      </c>
      <c r="V614" s="97" t="s">
        <v>4270</v>
      </c>
      <c r="W614" s="97" t="s">
        <v>4271</v>
      </c>
      <c r="X614" s="79" t="s">
        <v>3816</v>
      </c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  <c r="AP614" s="88"/>
      <c r="AQ614" s="88"/>
      <c r="AR614" s="88"/>
    </row>
    <row r="615" ht="19.5" customHeight="1">
      <c r="A615" s="79">
        <v>604.0</v>
      </c>
      <c r="B615" s="95" t="s">
        <v>35</v>
      </c>
      <c r="C615" s="95" t="s">
        <v>4272</v>
      </c>
      <c r="D615" s="95" t="s">
        <v>4273</v>
      </c>
      <c r="E615" s="100" t="s">
        <v>4274</v>
      </c>
      <c r="F615" s="95" t="s">
        <v>687</v>
      </c>
      <c r="G615" s="80" t="s">
        <v>44</v>
      </c>
      <c r="H615" s="80" t="s">
        <v>21</v>
      </c>
      <c r="I615" s="95" t="s">
        <v>4275</v>
      </c>
      <c r="J615" s="80" t="s">
        <v>43</v>
      </c>
      <c r="K615" s="95" t="s">
        <v>4272</v>
      </c>
      <c r="L615" s="82" t="s">
        <v>4276</v>
      </c>
      <c r="M615" s="83">
        <f t="shared" si="1"/>
        <v>85</v>
      </c>
      <c r="N615" s="84">
        <v>85.0</v>
      </c>
      <c r="O615" s="84">
        <v>0.0</v>
      </c>
      <c r="P615" s="84">
        <v>0.0</v>
      </c>
      <c r="Q615" s="94">
        <v>22930.0</v>
      </c>
      <c r="R615" s="94">
        <v>579.0</v>
      </c>
      <c r="S615" s="95" t="s">
        <v>350</v>
      </c>
      <c r="T615" s="94">
        <v>1.0</v>
      </c>
      <c r="U615" s="96">
        <v>43517.0</v>
      </c>
      <c r="V615" s="97" t="s">
        <v>4277</v>
      </c>
      <c r="W615" s="97" t="s">
        <v>4278</v>
      </c>
      <c r="X615" s="79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  <c r="AP615" s="88"/>
      <c r="AQ615" s="88"/>
      <c r="AR615" s="88"/>
    </row>
    <row r="616" ht="19.5" customHeight="1">
      <c r="A616" s="79">
        <v>605.0</v>
      </c>
      <c r="B616" s="95" t="s">
        <v>35</v>
      </c>
      <c r="C616" s="95" t="s">
        <v>4272</v>
      </c>
      <c r="D616" s="95" t="s">
        <v>4279</v>
      </c>
      <c r="E616" s="100" t="s">
        <v>4280</v>
      </c>
      <c r="F616" s="95" t="s">
        <v>22</v>
      </c>
      <c r="G616" s="80" t="s">
        <v>12</v>
      </c>
      <c r="H616" s="80" t="s">
        <v>22</v>
      </c>
      <c r="I616" s="95" t="s">
        <v>4281</v>
      </c>
      <c r="J616" s="80" t="s">
        <v>43</v>
      </c>
      <c r="K616" s="95" t="s">
        <v>4280</v>
      </c>
      <c r="L616" s="82" t="s">
        <v>4282</v>
      </c>
      <c r="M616" s="83">
        <f t="shared" si="1"/>
        <v>268</v>
      </c>
      <c r="N616" s="84">
        <v>0.0</v>
      </c>
      <c r="O616" s="84">
        <v>268.0</v>
      </c>
      <c r="P616" s="84">
        <v>0.0</v>
      </c>
      <c r="Q616" s="94">
        <v>9933.0</v>
      </c>
      <c r="R616" s="94">
        <v>8403.2</v>
      </c>
      <c r="S616" s="95" t="s">
        <v>4283</v>
      </c>
      <c r="T616" s="94">
        <v>2.0</v>
      </c>
      <c r="U616" s="96">
        <v>39419.0</v>
      </c>
      <c r="V616" s="97" t="s">
        <v>4284</v>
      </c>
      <c r="W616" s="97" t="s">
        <v>4285</v>
      </c>
      <c r="X616" s="79" t="s">
        <v>4286</v>
      </c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  <c r="AP616" s="88"/>
      <c r="AQ616" s="88"/>
      <c r="AR616" s="88"/>
    </row>
    <row r="617" ht="19.5" customHeight="1">
      <c r="A617" s="79">
        <v>606.0</v>
      </c>
      <c r="B617" s="95" t="s">
        <v>35</v>
      </c>
      <c r="C617" s="95" t="s">
        <v>4272</v>
      </c>
      <c r="D617" s="95" t="s">
        <v>4279</v>
      </c>
      <c r="E617" s="100" t="s">
        <v>4287</v>
      </c>
      <c r="F617" s="95" t="s">
        <v>22</v>
      </c>
      <c r="G617" s="80" t="s">
        <v>12</v>
      </c>
      <c r="H617" s="80" t="s">
        <v>22</v>
      </c>
      <c r="I617" s="95" t="s">
        <v>4288</v>
      </c>
      <c r="J617" s="80" t="s">
        <v>43</v>
      </c>
      <c r="K617" s="95" t="s">
        <v>4287</v>
      </c>
      <c r="L617" s="82" t="s">
        <v>4289</v>
      </c>
      <c r="M617" s="83">
        <f t="shared" si="1"/>
        <v>71</v>
      </c>
      <c r="N617" s="84">
        <v>0.0</v>
      </c>
      <c r="O617" s="84">
        <v>71.0</v>
      </c>
      <c r="P617" s="84">
        <v>0.0</v>
      </c>
      <c r="Q617" s="94">
        <v>6726.0</v>
      </c>
      <c r="R617" s="94">
        <v>1577.12</v>
      </c>
      <c r="S617" s="95" t="s">
        <v>314</v>
      </c>
      <c r="T617" s="94">
        <v>7.0</v>
      </c>
      <c r="U617" s="96">
        <v>43340.0</v>
      </c>
      <c r="V617" s="97"/>
      <c r="W617" s="97" t="s">
        <v>4285</v>
      </c>
      <c r="X617" s="79" t="s">
        <v>4286</v>
      </c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  <c r="AP617" s="88"/>
      <c r="AQ617" s="88"/>
      <c r="AR617" s="88"/>
    </row>
    <row r="618" ht="19.5" customHeight="1">
      <c r="A618" s="79">
        <v>607.0</v>
      </c>
      <c r="B618" s="95" t="s">
        <v>35</v>
      </c>
      <c r="C618" s="95" t="s">
        <v>4290</v>
      </c>
      <c r="D618" s="95" t="s">
        <v>4291</v>
      </c>
      <c r="E618" s="100" t="s">
        <v>4292</v>
      </c>
      <c r="F618" s="95" t="s">
        <v>4293</v>
      </c>
      <c r="G618" s="80" t="s">
        <v>42</v>
      </c>
      <c r="H618" s="80" t="s">
        <v>21</v>
      </c>
      <c r="I618" s="95" t="s">
        <v>4294</v>
      </c>
      <c r="J618" s="80" t="s">
        <v>45</v>
      </c>
      <c r="K618" s="95" t="s">
        <v>4107</v>
      </c>
      <c r="L618" s="82" t="s">
        <v>4295</v>
      </c>
      <c r="M618" s="83">
        <f t="shared" si="1"/>
        <v>300</v>
      </c>
      <c r="N618" s="84">
        <v>300.0</v>
      </c>
      <c r="O618" s="84"/>
      <c r="P618" s="84"/>
      <c r="Q618" s="94">
        <v>2180.0</v>
      </c>
      <c r="R618" s="94">
        <v>1513.0</v>
      </c>
      <c r="S618" s="95" t="s">
        <v>103</v>
      </c>
      <c r="T618" s="94">
        <v>1.0</v>
      </c>
      <c r="U618" s="96">
        <v>37309.0</v>
      </c>
      <c r="V618" s="97" t="s">
        <v>4296</v>
      </c>
      <c r="W618" s="97" t="s">
        <v>4297</v>
      </c>
      <c r="X618" s="79" t="s">
        <v>4298</v>
      </c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  <c r="AP618" s="88"/>
      <c r="AQ618" s="88"/>
      <c r="AR618" s="88"/>
    </row>
    <row r="619" ht="19.5" customHeight="1">
      <c r="A619" s="79">
        <v>608.0</v>
      </c>
      <c r="B619" s="95" t="s">
        <v>35</v>
      </c>
      <c r="C619" s="95" t="s">
        <v>4290</v>
      </c>
      <c r="D619" s="95" t="s">
        <v>4299</v>
      </c>
      <c r="E619" s="100" t="s">
        <v>4300</v>
      </c>
      <c r="F619" s="95" t="s">
        <v>81</v>
      </c>
      <c r="G619" s="80" t="s">
        <v>44</v>
      </c>
      <c r="H619" s="80" t="s">
        <v>21</v>
      </c>
      <c r="I619" s="95" t="s">
        <v>4294</v>
      </c>
      <c r="J619" s="80" t="s">
        <v>45</v>
      </c>
      <c r="K619" s="95" t="s">
        <v>4301</v>
      </c>
      <c r="L619" s="82" t="s">
        <v>4302</v>
      </c>
      <c r="M619" s="83">
        <f t="shared" si="1"/>
        <v>250</v>
      </c>
      <c r="N619" s="84">
        <v>250.0</v>
      </c>
      <c r="O619" s="84"/>
      <c r="P619" s="84"/>
      <c r="Q619" s="94">
        <v>982.0</v>
      </c>
      <c r="R619" s="94">
        <v>1223.0</v>
      </c>
      <c r="S619" s="95" t="s">
        <v>103</v>
      </c>
      <c r="T619" s="94">
        <v>1.0</v>
      </c>
      <c r="U619" s="96">
        <v>36314.0</v>
      </c>
      <c r="V619" s="97" t="s">
        <v>4303</v>
      </c>
      <c r="W619" s="97" t="s">
        <v>4304</v>
      </c>
      <c r="X619" s="79" t="s">
        <v>4305</v>
      </c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  <c r="AP619" s="88"/>
      <c r="AQ619" s="88"/>
      <c r="AR619" s="88"/>
    </row>
    <row r="620" ht="19.5" customHeight="1">
      <c r="A620" s="79">
        <v>609.0</v>
      </c>
      <c r="B620" s="95" t="s">
        <v>35</v>
      </c>
      <c r="C620" s="95" t="s">
        <v>4290</v>
      </c>
      <c r="D620" s="95" t="s">
        <v>4306</v>
      </c>
      <c r="E620" s="100" t="s">
        <v>4307</v>
      </c>
      <c r="F620" s="95" t="s">
        <v>81</v>
      </c>
      <c r="G620" s="80" t="s">
        <v>44</v>
      </c>
      <c r="H620" s="80" t="s">
        <v>21</v>
      </c>
      <c r="I620" s="95" t="s">
        <v>4294</v>
      </c>
      <c r="J620" s="80" t="s">
        <v>45</v>
      </c>
      <c r="K620" s="95" t="s">
        <v>760</v>
      </c>
      <c r="L620" s="82" t="s">
        <v>4308</v>
      </c>
      <c r="M620" s="83">
        <f t="shared" si="1"/>
        <v>215</v>
      </c>
      <c r="N620" s="84">
        <v>215.0</v>
      </c>
      <c r="O620" s="84"/>
      <c r="P620" s="84"/>
      <c r="Q620" s="94">
        <v>976.0</v>
      </c>
      <c r="R620" s="94">
        <v>1100.0</v>
      </c>
      <c r="S620" s="95" t="s">
        <v>4309</v>
      </c>
      <c r="T620" s="94">
        <v>2.0</v>
      </c>
      <c r="U620" s="96">
        <v>35119.0</v>
      </c>
      <c r="V620" s="97" t="s">
        <v>4310</v>
      </c>
      <c r="W620" s="97" t="s">
        <v>4311</v>
      </c>
      <c r="X620" s="79" t="s">
        <v>4312</v>
      </c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  <c r="AP620" s="88"/>
      <c r="AQ620" s="88"/>
      <c r="AR620" s="88"/>
    </row>
    <row r="621" ht="19.5" customHeight="1">
      <c r="A621" s="79">
        <v>610.0</v>
      </c>
      <c r="B621" s="95" t="s">
        <v>35</v>
      </c>
      <c r="C621" s="95" t="s">
        <v>4290</v>
      </c>
      <c r="D621" s="95" t="s">
        <v>4313</v>
      </c>
      <c r="E621" s="100" t="s">
        <v>4314</v>
      </c>
      <c r="F621" s="95" t="s">
        <v>81</v>
      </c>
      <c r="G621" s="80" t="s">
        <v>44</v>
      </c>
      <c r="H621" s="80" t="s">
        <v>21</v>
      </c>
      <c r="I621" s="95" t="s">
        <v>4294</v>
      </c>
      <c r="J621" s="80" t="s">
        <v>45</v>
      </c>
      <c r="K621" s="95" t="s">
        <v>4315</v>
      </c>
      <c r="L621" s="82" t="s">
        <v>4316</v>
      </c>
      <c r="M621" s="83">
        <f t="shared" si="1"/>
        <v>217</v>
      </c>
      <c r="N621" s="84">
        <v>217.0</v>
      </c>
      <c r="O621" s="84"/>
      <c r="P621" s="84"/>
      <c r="Q621" s="94">
        <v>478.0</v>
      </c>
      <c r="R621" s="94">
        <v>996.0</v>
      </c>
      <c r="S621" s="95" t="s">
        <v>373</v>
      </c>
      <c r="T621" s="94">
        <v>1.0</v>
      </c>
      <c r="U621" s="96">
        <v>38275.0</v>
      </c>
      <c r="V621" s="97" t="s">
        <v>4317</v>
      </c>
      <c r="W621" s="97" t="s">
        <v>4318</v>
      </c>
      <c r="X621" s="79" t="s">
        <v>4319</v>
      </c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  <c r="AP621" s="88"/>
      <c r="AQ621" s="88"/>
      <c r="AR621" s="88"/>
    </row>
    <row r="622" ht="19.5" customHeight="1">
      <c r="A622" s="79">
        <v>611.0</v>
      </c>
      <c r="B622" s="95" t="s">
        <v>35</v>
      </c>
      <c r="C622" s="95" t="s">
        <v>4290</v>
      </c>
      <c r="D622" s="95" t="s">
        <v>4320</v>
      </c>
      <c r="E622" s="100" t="s">
        <v>4321</v>
      </c>
      <c r="F622" s="95" t="s">
        <v>81</v>
      </c>
      <c r="G622" s="80" t="s">
        <v>44</v>
      </c>
      <c r="H622" s="80" t="s">
        <v>21</v>
      </c>
      <c r="I622" s="95" t="s">
        <v>4294</v>
      </c>
      <c r="J622" s="80" t="s">
        <v>45</v>
      </c>
      <c r="K622" s="95" t="s">
        <v>152</v>
      </c>
      <c r="L622" s="82" t="s">
        <v>4322</v>
      </c>
      <c r="M622" s="83">
        <f t="shared" si="1"/>
        <v>210</v>
      </c>
      <c r="N622" s="84">
        <v>210.0</v>
      </c>
      <c r="O622" s="84"/>
      <c r="P622" s="84"/>
      <c r="Q622" s="94">
        <v>2595.0</v>
      </c>
      <c r="R622" s="94">
        <v>993.39</v>
      </c>
      <c r="S622" s="95" t="s">
        <v>314</v>
      </c>
      <c r="T622" s="94">
        <v>1.0</v>
      </c>
      <c r="U622" s="96">
        <v>37316.0</v>
      </c>
      <c r="V622" s="97" t="s">
        <v>4323</v>
      </c>
      <c r="W622" s="97" t="s">
        <v>4324</v>
      </c>
      <c r="X622" s="79" t="s">
        <v>4325</v>
      </c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  <c r="AP622" s="88"/>
      <c r="AQ622" s="88"/>
      <c r="AR622" s="88"/>
    </row>
    <row r="623" ht="19.5" customHeight="1">
      <c r="A623" s="79">
        <v>612.0</v>
      </c>
      <c r="B623" s="95" t="s">
        <v>35</v>
      </c>
      <c r="C623" s="95" t="s">
        <v>4290</v>
      </c>
      <c r="D623" s="95" t="s">
        <v>4326</v>
      </c>
      <c r="E623" s="100" t="s">
        <v>4327</v>
      </c>
      <c r="F623" s="95" t="s">
        <v>81</v>
      </c>
      <c r="G623" s="80" t="s">
        <v>44</v>
      </c>
      <c r="H623" s="80" t="s">
        <v>21</v>
      </c>
      <c r="I623" s="95" t="s">
        <v>4294</v>
      </c>
      <c r="J623" s="80" t="s">
        <v>45</v>
      </c>
      <c r="K623" s="95" t="s">
        <v>4328</v>
      </c>
      <c r="L623" s="82" t="s">
        <v>4329</v>
      </c>
      <c r="M623" s="83">
        <f t="shared" si="1"/>
        <v>200</v>
      </c>
      <c r="N623" s="84">
        <v>200.0</v>
      </c>
      <c r="O623" s="84"/>
      <c r="P623" s="84"/>
      <c r="Q623" s="94">
        <v>1286.0</v>
      </c>
      <c r="R623" s="94">
        <v>2365.63</v>
      </c>
      <c r="S623" s="95" t="s">
        <v>194</v>
      </c>
      <c r="T623" s="94">
        <v>1.0</v>
      </c>
      <c r="U623" s="96">
        <v>44195.0</v>
      </c>
      <c r="V623" s="97" t="s">
        <v>4330</v>
      </c>
      <c r="W623" s="97" t="s">
        <v>4331</v>
      </c>
      <c r="X623" s="79" t="s">
        <v>4332</v>
      </c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  <c r="AP623" s="88"/>
      <c r="AQ623" s="88"/>
      <c r="AR623" s="88"/>
    </row>
    <row r="624" ht="19.5" customHeight="1">
      <c r="A624" s="79">
        <v>613.0</v>
      </c>
      <c r="B624" s="95" t="s">
        <v>35</v>
      </c>
      <c r="C624" s="95" t="s">
        <v>4333</v>
      </c>
      <c r="D624" s="95" t="s">
        <v>4334</v>
      </c>
      <c r="E624" s="100" t="s">
        <v>4335</v>
      </c>
      <c r="F624" s="95" t="s">
        <v>81</v>
      </c>
      <c r="G624" s="80" t="s">
        <v>42</v>
      </c>
      <c r="H624" s="80" t="s">
        <v>21</v>
      </c>
      <c r="I624" s="95" t="s">
        <v>4336</v>
      </c>
      <c r="J624" s="80" t="s">
        <v>45</v>
      </c>
      <c r="K624" s="91" t="s">
        <v>4337</v>
      </c>
      <c r="L624" s="82" t="s">
        <v>4338</v>
      </c>
      <c r="M624" s="83">
        <f t="shared" si="1"/>
        <v>300</v>
      </c>
      <c r="N624" s="84">
        <v>300.0</v>
      </c>
      <c r="O624" s="84"/>
      <c r="P624" s="84"/>
      <c r="Q624" s="94">
        <v>7902.0</v>
      </c>
      <c r="R624" s="94">
        <v>4452.0</v>
      </c>
      <c r="S624" s="95" t="s">
        <v>85</v>
      </c>
      <c r="T624" s="94">
        <v>1.0</v>
      </c>
      <c r="U624" s="96">
        <v>36844.0</v>
      </c>
      <c r="V624" s="97" t="s">
        <v>4339</v>
      </c>
      <c r="W624" s="97" t="s">
        <v>4340</v>
      </c>
      <c r="X624" s="79" t="s">
        <v>4341</v>
      </c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  <c r="AP624" s="88"/>
      <c r="AQ624" s="88"/>
      <c r="AR624" s="88"/>
    </row>
    <row r="625" ht="19.5" customHeight="1">
      <c r="A625" s="79">
        <v>614.0</v>
      </c>
      <c r="B625" s="95" t="s">
        <v>35</v>
      </c>
      <c r="C625" s="95" t="s">
        <v>4333</v>
      </c>
      <c r="D625" s="95" t="s">
        <v>4342</v>
      </c>
      <c r="E625" s="100" t="s">
        <v>4343</v>
      </c>
      <c r="F625" s="95" t="s">
        <v>81</v>
      </c>
      <c r="G625" s="80" t="s">
        <v>44</v>
      </c>
      <c r="H625" s="80" t="s">
        <v>21</v>
      </c>
      <c r="I625" s="95" t="s">
        <v>4336</v>
      </c>
      <c r="J625" s="80" t="s">
        <v>43</v>
      </c>
      <c r="K625" s="95"/>
      <c r="L625" s="82" t="s">
        <v>4344</v>
      </c>
      <c r="M625" s="83">
        <f t="shared" si="1"/>
        <v>70</v>
      </c>
      <c r="N625" s="84">
        <v>70.0</v>
      </c>
      <c r="O625" s="84"/>
      <c r="P625" s="84"/>
      <c r="Q625" s="94">
        <v>9188.0</v>
      </c>
      <c r="R625" s="94">
        <v>2720.0</v>
      </c>
      <c r="S625" s="95" t="s">
        <v>103</v>
      </c>
      <c r="T625" s="94">
        <v>1.0</v>
      </c>
      <c r="U625" s="96">
        <v>40385.0</v>
      </c>
      <c r="V625" s="97" t="s">
        <v>4345</v>
      </c>
      <c r="W625" s="97" t="s">
        <v>4346</v>
      </c>
      <c r="X625" s="79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  <c r="AP625" s="88"/>
      <c r="AQ625" s="88"/>
      <c r="AR625" s="88"/>
    </row>
    <row r="626" ht="19.5" customHeight="1">
      <c r="A626" s="79">
        <v>615.0</v>
      </c>
      <c r="B626" s="95" t="s">
        <v>35</v>
      </c>
      <c r="C626" s="95" t="s">
        <v>4333</v>
      </c>
      <c r="D626" s="95" t="s">
        <v>4347</v>
      </c>
      <c r="E626" s="100" t="s">
        <v>4348</v>
      </c>
      <c r="F626" s="95" t="s">
        <v>81</v>
      </c>
      <c r="G626" s="80" t="s">
        <v>44</v>
      </c>
      <c r="H626" s="80" t="s">
        <v>21</v>
      </c>
      <c r="I626" s="95" t="s">
        <v>4336</v>
      </c>
      <c r="J626" s="80" t="s">
        <v>43</v>
      </c>
      <c r="K626" s="95"/>
      <c r="L626" s="82" t="s">
        <v>4349</v>
      </c>
      <c r="M626" s="83">
        <f t="shared" si="1"/>
        <v>250</v>
      </c>
      <c r="N626" s="84">
        <v>250.0</v>
      </c>
      <c r="O626" s="84"/>
      <c r="P626" s="84"/>
      <c r="Q626" s="94">
        <v>803.0</v>
      </c>
      <c r="R626" s="94">
        <v>424.0</v>
      </c>
      <c r="S626" s="95" t="s">
        <v>350</v>
      </c>
      <c r="T626" s="94">
        <v>1.0</v>
      </c>
      <c r="U626" s="96">
        <v>39093.0</v>
      </c>
      <c r="V626" s="97" t="s">
        <v>4350</v>
      </c>
      <c r="W626" s="97" t="s">
        <v>4350</v>
      </c>
      <c r="X626" s="79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  <c r="AP626" s="88"/>
      <c r="AQ626" s="88"/>
      <c r="AR626" s="88"/>
    </row>
    <row r="627" ht="19.5" customHeight="1">
      <c r="A627" s="79">
        <v>616.0</v>
      </c>
      <c r="B627" s="95" t="s">
        <v>35</v>
      </c>
      <c r="C627" s="95" t="s">
        <v>4351</v>
      </c>
      <c r="D627" s="95" t="s">
        <v>4352</v>
      </c>
      <c r="E627" s="100" t="s">
        <v>4353</v>
      </c>
      <c r="F627" s="95" t="s">
        <v>687</v>
      </c>
      <c r="G627" s="80" t="s">
        <v>48</v>
      </c>
      <c r="H627" s="80" t="s">
        <v>21</v>
      </c>
      <c r="I627" s="95" t="s">
        <v>4354</v>
      </c>
      <c r="J627" s="80" t="s">
        <v>45</v>
      </c>
      <c r="K627" s="95" t="s">
        <v>4355</v>
      </c>
      <c r="L627" s="82" t="s">
        <v>4356</v>
      </c>
      <c r="M627" s="83">
        <f t="shared" si="1"/>
        <v>130</v>
      </c>
      <c r="N627" s="84"/>
      <c r="O627" s="84"/>
      <c r="P627" s="84">
        <v>130.0</v>
      </c>
      <c r="Q627" s="94">
        <v>52000.0</v>
      </c>
      <c r="R627" s="94">
        <v>52000.0</v>
      </c>
      <c r="S627" s="95" t="s">
        <v>704</v>
      </c>
      <c r="T627" s="94">
        <v>5.0</v>
      </c>
      <c r="U627" s="96">
        <v>39204.0</v>
      </c>
      <c r="V627" s="97" t="s">
        <v>4357</v>
      </c>
      <c r="W627" s="97" t="s">
        <v>4358</v>
      </c>
      <c r="X627" s="79" t="s">
        <v>4359</v>
      </c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  <c r="AP627" s="88"/>
      <c r="AQ627" s="88"/>
      <c r="AR627" s="88"/>
    </row>
    <row r="628" ht="19.5" customHeight="1">
      <c r="A628" s="79">
        <v>617.0</v>
      </c>
      <c r="B628" s="95" t="s">
        <v>35</v>
      </c>
      <c r="C628" s="95" t="s">
        <v>4351</v>
      </c>
      <c r="D628" s="95" t="s">
        <v>4360</v>
      </c>
      <c r="E628" s="100" t="s">
        <v>4361</v>
      </c>
      <c r="F628" s="95" t="s">
        <v>22</v>
      </c>
      <c r="G628" s="80" t="s">
        <v>46</v>
      </c>
      <c r="H628" s="80" t="s">
        <v>22</v>
      </c>
      <c r="I628" s="95" t="s">
        <v>4362</v>
      </c>
      <c r="J628" s="80" t="s">
        <v>43</v>
      </c>
      <c r="K628" s="95" t="s">
        <v>4362</v>
      </c>
      <c r="L628" s="82" t="s">
        <v>4363</v>
      </c>
      <c r="M628" s="83">
        <f t="shared" si="1"/>
        <v>200</v>
      </c>
      <c r="N628" s="84"/>
      <c r="O628" s="84">
        <v>200.0</v>
      </c>
      <c r="P628" s="84"/>
      <c r="Q628" s="94">
        <v>11505.0</v>
      </c>
      <c r="R628" s="94">
        <v>1940.0</v>
      </c>
      <c r="S628" s="95" t="s">
        <v>4364</v>
      </c>
      <c r="T628" s="94">
        <v>8.0</v>
      </c>
      <c r="U628" s="96">
        <v>35970.0</v>
      </c>
      <c r="V628" s="97" t="s">
        <v>4365</v>
      </c>
      <c r="W628" s="97" t="s">
        <v>4365</v>
      </c>
      <c r="X628" s="79" t="s">
        <v>4366</v>
      </c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  <c r="AO628" s="88"/>
      <c r="AP628" s="88"/>
      <c r="AQ628" s="88"/>
      <c r="AR628" s="88"/>
    </row>
    <row r="629" ht="19.5" customHeight="1">
      <c r="A629" s="79">
        <v>618.0</v>
      </c>
      <c r="B629" s="95" t="s">
        <v>35</v>
      </c>
      <c r="C629" s="95" t="s">
        <v>4351</v>
      </c>
      <c r="D629" s="95" t="s">
        <v>4367</v>
      </c>
      <c r="E629" s="100" t="s">
        <v>4368</v>
      </c>
      <c r="F629" s="95" t="s">
        <v>687</v>
      </c>
      <c r="G629" s="80" t="s">
        <v>42</v>
      </c>
      <c r="H629" s="80" t="s">
        <v>21</v>
      </c>
      <c r="I629" s="95" t="s">
        <v>4354</v>
      </c>
      <c r="J629" s="80" t="s">
        <v>45</v>
      </c>
      <c r="K629" s="95" t="s">
        <v>4369</v>
      </c>
      <c r="L629" s="82" t="s">
        <v>4370</v>
      </c>
      <c r="M629" s="83">
        <f t="shared" si="1"/>
        <v>180</v>
      </c>
      <c r="N629" s="84">
        <v>180.0</v>
      </c>
      <c r="O629" s="84"/>
      <c r="P629" s="84"/>
      <c r="Q629" s="94">
        <v>3380.0</v>
      </c>
      <c r="R629" s="94">
        <v>3197.0</v>
      </c>
      <c r="S629" s="95" t="s">
        <v>103</v>
      </c>
      <c r="T629" s="94">
        <v>1.0</v>
      </c>
      <c r="U629" s="96">
        <v>38846.0</v>
      </c>
      <c r="V629" s="97" t="s">
        <v>4371</v>
      </c>
      <c r="W629" s="97" t="s">
        <v>4372</v>
      </c>
      <c r="X629" s="79" t="s">
        <v>4373</v>
      </c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  <c r="AO629" s="88"/>
      <c r="AP629" s="88"/>
      <c r="AQ629" s="88"/>
      <c r="AR629" s="88"/>
    </row>
    <row r="630" ht="19.5" customHeight="1">
      <c r="A630" s="79">
        <v>619.0</v>
      </c>
      <c r="B630" s="80" t="s">
        <v>36</v>
      </c>
      <c r="C630" s="80" t="s">
        <v>4374</v>
      </c>
      <c r="D630" s="80" t="s">
        <v>4375</v>
      </c>
      <c r="E630" s="81" t="s">
        <v>4376</v>
      </c>
      <c r="F630" s="80" t="s">
        <v>687</v>
      </c>
      <c r="G630" s="80" t="s">
        <v>44</v>
      </c>
      <c r="H630" s="80" t="s">
        <v>21</v>
      </c>
      <c r="I630" s="80" t="s">
        <v>4377</v>
      </c>
      <c r="J630" s="80" t="s">
        <v>43</v>
      </c>
      <c r="K630" s="80" t="s">
        <v>4378</v>
      </c>
      <c r="L630" s="82" t="s">
        <v>4379</v>
      </c>
      <c r="M630" s="83">
        <f t="shared" si="1"/>
        <v>100</v>
      </c>
      <c r="N630" s="84">
        <v>100.0</v>
      </c>
      <c r="O630" s="84"/>
      <c r="P630" s="84"/>
      <c r="Q630" s="94">
        <v>1403.0</v>
      </c>
      <c r="R630" s="94">
        <v>1541.5</v>
      </c>
      <c r="S630" s="95" t="s">
        <v>314</v>
      </c>
      <c r="T630" s="94">
        <v>1.0</v>
      </c>
      <c r="U630" s="96">
        <v>42977.0</v>
      </c>
      <c r="V630" s="97" t="s">
        <v>4380</v>
      </c>
      <c r="W630" s="97" t="s">
        <v>4381</v>
      </c>
      <c r="X630" s="79" t="s">
        <v>4382</v>
      </c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  <c r="AO630" s="88"/>
      <c r="AP630" s="88"/>
      <c r="AQ630" s="88"/>
      <c r="AR630" s="88"/>
    </row>
    <row r="631" ht="19.5" customHeight="1">
      <c r="A631" s="79">
        <v>620.0</v>
      </c>
      <c r="B631" s="80" t="s">
        <v>36</v>
      </c>
      <c r="C631" s="80" t="s">
        <v>4374</v>
      </c>
      <c r="D631" s="80" t="s">
        <v>4375</v>
      </c>
      <c r="E631" s="81" t="s">
        <v>4383</v>
      </c>
      <c r="F631" s="80" t="s">
        <v>687</v>
      </c>
      <c r="G631" s="80" t="s">
        <v>42</v>
      </c>
      <c r="H631" s="80" t="s">
        <v>21</v>
      </c>
      <c r="I631" s="80" t="s">
        <v>4377</v>
      </c>
      <c r="J631" s="80" t="s">
        <v>43</v>
      </c>
      <c r="K631" s="80" t="s">
        <v>4378</v>
      </c>
      <c r="L631" s="82" t="s">
        <v>4384</v>
      </c>
      <c r="M631" s="83">
        <f t="shared" si="1"/>
        <v>200</v>
      </c>
      <c r="N631" s="84">
        <v>200.0</v>
      </c>
      <c r="O631" s="84"/>
      <c r="P631" s="84"/>
      <c r="Q631" s="94">
        <v>2085.0</v>
      </c>
      <c r="R631" s="94">
        <v>2048.0</v>
      </c>
      <c r="S631" s="95" t="s">
        <v>314</v>
      </c>
      <c r="T631" s="94">
        <v>1.0</v>
      </c>
      <c r="U631" s="96">
        <v>43984.0</v>
      </c>
      <c r="V631" s="97" t="s">
        <v>4385</v>
      </c>
      <c r="W631" s="97" t="s">
        <v>4386</v>
      </c>
      <c r="X631" s="79" t="s">
        <v>4382</v>
      </c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  <c r="AO631" s="88"/>
      <c r="AP631" s="88"/>
      <c r="AQ631" s="88"/>
      <c r="AR631" s="88"/>
    </row>
    <row r="632" ht="19.5" customHeight="1">
      <c r="A632" s="79">
        <v>621.0</v>
      </c>
      <c r="B632" s="80" t="s">
        <v>36</v>
      </c>
      <c r="C632" s="80" t="s">
        <v>4387</v>
      </c>
      <c r="D632" s="80" t="s">
        <v>4388</v>
      </c>
      <c r="E632" s="81" t="s">
        <v>4389</v>
      </c>
      <c r="F632" s="80" t="s">
        <v>687</v>
      </c>
      <c r="G632" s="80" t="s">
        <v>44</v>
      </c>
      <c r="H632" s="80" t="s">
        <v>21</v>
      </c>
      <c r="I632" s="80" t="s">
        <v>4390</v>
      </c>
      <c r="J632" s="80" t="s">
        <v>43</v>
      </c>
      <c r="K632" s="80" t="s">
        <v>4387</v>
      </c>
      <c r="L632" s="82" t="s">
        <v>4391</v>
      </c>
      <c r="M632" s="83">
        <f t="shared" si="1"/>
        <v>280</v>
      </c>
      <c r="N632" s="84">
        <v>280.0</v>
      </c>
      <c r="O632" s="84">
        <v>0.0</v>
      </c>
      <c r="P632" s="84">
        <v>0.0</v>
      </c>
      <c r="Q632" s="94">
        <v>2351.0</v>
      </c>
      <c r="R632" s="94">
        <v>1348.0</v>
      </c>
      <c r="S632" s="95" t="s">
        <v>4392</v>
      </c>
      <c r="T632" s="94">
        <v>1.0</v>
      </c>
      <c r="U632" s="96">
        <v>40542.0</v>
      </c>
      <c r="V632" s="97" t="s">
        <v>4393</v>
      </c>
      <c r="W632" s="97" t="s">
        <v>4394</v>
      </c>
      <c r="X632" s="79" t="s">
        <v>4395</v>
      </c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  <c r="AO632" s="88"/>
      <c r="AP632" s="88"/>
      <c r="AQ632" s="88"/>
      <c r="AR632" s="88"/>
    </row>
    <row r="633" ht="19.5" customHeight="1">
      <c r="A633" s="79">
        <v>622.0</v>
      </c>
      <c r="B633" s="80" t="s">
        <v>36</v>
      </c>
      <c r="C633" s="80" t="s">
        <v>4387</v>
      </c>
      <c r="D633" s="80" t="s">
        <v>4396</v>
      </c>
      <c r="E633" s="81" t="s">
        <v>4397</v>
      </c>
      <c r="F633" s="80" t="s">
        <v>801</v>
      </c>
      <c r="G633" s="80" t="s">
        <v>46</v>
      </c>
      <c r="H633" s="80" t="s">
        <v>21</v>
      </c>
      <c r="I633" s="91" t="s">
        <v>802</v>
      </c>
      <c r="J633" s="80" t="s">
        <v>45</v>
      </c>
      <c r="K633" s="80" t="s">
        <v>803</v>
      </c>
      <c r="L633" s="82" t="s">
        <v>4398</v>
      </c>
      <c r="M633" s="83">
        <f t="shared" si="1"/>
        <v>326</v>
      </c>
      <c r="N633" s="84">
        <v>0.0</v>
      </c>
      <c r="O633" s="84">
        <v>226.0</v>
      </c>
      <c r="P633" s="84">
        <v>100.0</v>
      </c>
      <c r="Q633" s="94">
        <v>282617.0</v>
      </c>
      <c r="R633" s="94">
        <v>14140.0</v>
      </c>
      <c r="S633" s="95" t="s">
        <v>4399</v>
      </c>
      <c r="T633" s="94">
        <v>10.0</v>
      </c>
      <c r="U633" s="96">
        <v>37081.0</v>
      </c>
      <c r="V633" s="97" t="s">
        <v>4400</v>
      </c>
      <c r="W633" s="97" t="s">
        <v>4401</v>
      </c>
      <c r="X633" s="79" t="s">
        <v>4402</v>
      </c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  <c r="AO633" s="88"/>
      <c r="AP633" s="88"/>
      <c r="AQ633" s="88"/>
      <c r="AR633" s="88"/>
    </row>
    <row r="634" ht="19.5" customHeight="1">
      <c r="A634" s="79">
        <v>623.0</v>
      </c>
      <c r="B634" s="79" t="s">
        <v>36</v>
      </c>
      <c r="C634" s="79" t="s">
        <v>4387</v>
      </c>
      <c r="D634" s="79" t="s">
        <v>4403</v>
      </c>
      <c r="E634" s="102" t="s">
        <v>4404</v>
      </c>
      <c r="F634" s="79" t="s">
        <v>687</v>
      </c>
      <c r="G634" s="80" t="s">
        <v>48</v>
      </c>
      <c r="H634" s="80" t="s">
        <v>21</v>
      </c>
      <c r="I634" s="79" t="s">
        <v>4390</v>
      </c>
      <c r="J634" s="80" t="s">
        <v>43</v>
      </c>
      <c r="K634" s="79" t="s">
        <v>4387</v>
      </c>
      <c r="L634" s="93" t="s">
        <v>4405</v>
      </c>
      <c r="M634" s="83">
        <f t="shared" si="1"/>
        <v>100</v>
      </c>
      <c r="N634" s="84"/>
      <c r="O634" s="84"/>
      <c r="P634" s="84">
        <v>100.0</v>
      </c>
      <c r="Q634" s="94">
        <v>89319.0</v>
      </c>
      <c r="R634" s="94">
        <v>397.43</v>
      </c>
      <c r="S634" s="95" t="s">
        <v>704</v>
      </c>
      <c r="T634" s="94">
        <v>3.0</v>
      </c>
      <c r="U634" s="96">
        <v>45078.0</v>
      </c>
      <c r="V634" s="97" t="s">
        <v>4406</v>
      </c>
      <c r="W634" s="97" t="s">
        <v>4407</v>
      </c>
      <c r="X634" s="79" t="s">
        <v>4408</v>
      </c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  <c r="AO634" s="88"/>
      <c r="AP634" s="88"/>
      <c r="AQ634" s="88"/>
      <c r="AR634" s="88"/>
    </row>
    <row r="635" ht="19.5" customHeight="1">
      <c r="A635" s="79">
        <v>624.0</v>
      </c>
      <c r="B635" s="80" t="s">
        <v>36</v>
      </c>
      <c r="C635" s="80" t="s">
        <v>4409</v>
      </c>
      <c r="D635" s="80" t="s">
        <v>4410</v>
      </c>
      <c r="E635" s="81" t="s">
        <v>4411</v>
      </c>
      <c r="F635" s="80" t="s">
        <v>687</v>
      </c>
      <c r="G635" s="80" t="s">
        <v>44</v>
      </c>
      <c r="H635" s="80" t="s">
        <v>21</v>
      </c>
      <c r="I635" s="80" t="s">
        <v>4412</v>
      </c>
      <c r="J635" s="80" t="s">
        <v>45</v>
      </c>
      <c r="K635" s="80" t="s">
        <v>4413</v>
      </c>
      <c r="L635" s="82" t="s">
        <v>4414</v>
      </c>
      <c r="M635" s="83">
        <f t="shared" si="1"/>
        <v>70</v>
      </c>
      <c r="N635" s="84">
        <v>70.0</v>
      </c>
      <c r="O635" s="84">
        <v>0.0</v>
      </c>
      <c r="P635" s="84">
        <v>0.0</v>
      </c>
      <c r="Q635" s="94">
        <v>13325.0</v>
      </c>
      <c r="R635" s="94">
        <v>910.0</v>
      </c>
      <c r="S635" s="95" t="s">
        <v>314</v>
      </c>
      <c r="T635" s="94">
        <v>1.0</v>
      </c>
      <c r="U635" s="96">
        <v>41031.0</v>
      </c>
      <c r="V635" s="97" t="s">
        <v>4415</v>
      </c>
      <c r="W635" s="97" t="s">
        <v>4416</v>
      </c>
      <c r="X635" s="79" t="s">
        <v>4417</v>
      </c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  <c r="AO635" s="88"/>
      <c r="AP635" s="88"/>
      <c r="AQ635" s="88"/>
      <c r="AR635" s="88"/>
    </row>
    <row r="636" ht="19.5" customHeight="1">
      <c r="A636" s="79">
        <v>625.0</v>
      </c>
      <c r="B636" s="80" t="s">
        <v>36</v>
      </c>
      <c r="C636" s="80" t="s">
        <v>4409</v>
      </c>
      <c r="D636" s="80" t="s">
        <v>4418</v>
      </c>
      <c r="E636" s="81" t="s">
        <v>4419</v>
      </c>
      <c r="F636" s="80" t="s">
        <v>687</v>
      </c>
      <c r="G636" s="80" t="s">
        <v>48</v>
      </c>
      <c r="H636" s="80" t="s">
        <v>21</v>
      </c>
      <c r="I636" s="80" t="s">
        <v>4412</v>
      </c>
      <c r="J636" s="80" t="s">
        <v>45</v>
      </c>
      <c r="K636" s="80" t="s">
        <v>4420</v>
      </c>
      <c r="L636" s="82" t="s">
        <v>4421</v>
      </c>
      <c r="M636" s="83">
        <f t="shared" si="1"/>
        <v>340</v>
      </c>
      <c r="N636" s="84">
        <v>0.0</v>
      </c>
      <c r="O636" s="84">
        <v>90.0</v>
      </c>
      <c r="P636" s="84">
        <v>250.0</v>
      </c>
      <c r="Q636" s="94">
        <v>19046.0</v>
      </c>
      <c r="R636" s="94">
        <v>1554.27</v>
      </c>
      <c r="S636" s="95" t="s">
        <v>350</v>
      </c>
      <c r="T636" s="94">
        <v>2.0</v>
      </c>
      <c r="U636" s="96">
        <v>38029.0</v>
      </c>
      <c r="V636" s="97" t="s">
        <v>4422</v>
      </c>
      <c r="W636" s="97" t="s">
        <v>4423</v>
      </c>
      <c r="X636" s="79" t="s">
        <v>4424</v>
      </c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  <c r="AO636" s="88"/>
      <c r="AP636" s="88"/>
      <c r="AQ636" s="88"/>
      <c r="AR636" s="88"/>
    </row>
    <row r="637" ht="19.5" customHeight="1">
      <c r="A637" s="79">
        <v>626.0</v>
      </c>
      <c r="B637" s="80" t="s">
        <v>36</v>
      </c>
      <c r="C637" s="80" t="s">
        <v>4409</v>
      </c>
      <c r="D637" s="80" t="s">
        <v>4418</v>
      </c>
      <c r="E637" s="81" t="s">
        <v>4425</v>
      </c>
      <c r="F637" s="80" t="s">
        <v>687</v>
      </c>
      <c r="G637" s="80" t="s">
        <v>12</v>
      </c>
      <c r="H637" s="80" t="s">
        <v>21</v>
      </c>
      <c r="I637" s="80" t="s">
        <v>4412</v>
      </c>
      <c r="J637" s="80" t="s">
        <v>45</v>
      </c>
      <c r="K637" s="132" t="s">
        <v>40</v>
      </c>
      <c r="L637" s="82" t="s">
        <v>4426</v>
      </c>
      <c r="M637" s="83">
        <f t="shared" si="1"/>
        <v>228</v>
      </c>
      <c r="N637" s="84">
        <v>0.0</v>
      </c>
      <c r="O637" s="84">
        <v>228.0</v>
      </c>
      <c r="P637" s="84">
        <v>0.0</v>
      </c>
      <c r="Q637" s="94">
        <v>33959.0</v>
      </c>
      <c r="R637" s="94">
        <v>1817.0</v>
      </c>
      <c r="S637" s="95" t="s">
        <v>350</v>
      </c>
      <c r="T637" s="94">
        <v>4.0</v>
      </c>
      <c r="U637" s="96">
        <v>41766.0</v>
      </c>
      <c r="V637" s="97" t="s">
        <v>4427</v>
      </c>
      <c r="W637" s="97" t="s">
        <v>4428</v>
      </c>
      <c r="X637" s="79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  <c r="AO637" s="88"/>
      <c r="AP637" s="88"/>
      <c r="AQ637" s="88"/>
      <c r="AR637" s="88"/>
    </row>
    <row r="638" ht="19.5" customHeight="1">
      <c r="A638" s="79">
        <v>627.0</v>
      </c>
      <c r="B638" s="80" t="s">
        <v>36</v>
      </c>
      <c r="C638" s="80" t="s">
        <v>4409</v>
      </c>
      <c r="D638" s="80" t="s">
        <v>4429</v>
      </c>
      <c r="E638" s="81" t="s">
        <v>4430</v>
      </c>
      <c r="F638" s="80" t="s">
        <v>687</v>
      </c>
      <c r="G638" s="80" t="s">
        <v>44</v>
      </c>
      <c r="H638" s="80" t="s">
        <v>21</v>
      </c>
      <c r="I638" s="80" t="s">
        <v>4412</v>
      </c>
      <c r="J638" s="80" t="s">
        <v>45</v>
      </c>
      <c r="K638" s="80" t="s">
        <v>4413</v>
      </c>
      <c r="L638" s="82" t="s">
        <v>4431</v>
      </c>
      <c r="M638" s="83">
        <f t="shared" si="1"/>
        <v>120</v>
      </c>
      <c r="N638" s="84">
        <v>120.0</v>
      </c>
      <c r="O638" s="84">
        <v>0.0</v>
      </c>
      <c r="P638" s="84">
        <v>0.0</v>
      </c>
      <c r="Q638" s="94">
        <v>993.0</v>
      </c>
      <c r="R638" s="94">
        <v>1698.0</v>
      </c>
      <c r="S638" s="95" t="s">
        <v>4432</v>
      </c>
      <c r="T638" s="94">
        <v>1.0</v>
      </c>
      <c r="U638" s="96">
        <v>43364.0</v>
      </c>
      <c r="V638" s="97" t="s">
        <v>4433</v>
      </c>
      <c r="W638" s="97" t="s">
        <v>4434</v>
      </c>
      <c r="X638" s="79" t="s">
        <v>4417</v>
      </c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  <c r="AO638" s="88"/>
      <c r="AP638" s="88"/>
      <c r="AQ638" s="88"/>
      <c r="AR638" s="88"/>
    </row>
    <row r="639" ht="19.5" customHeight="1">
      <c r="A639" s="79">
        <v>628.0</v>
      </c>
      <c r="B639" s="80" t="s">
        <v>36</v>
      </c>
      <c r="C639" s="80" t="s">
        <v>4435</v>
      </c>
      <c r="D639" s="80" t="s">
        <v>4436</v>
      </c>
      <c r="E639" s="81" t="s">
        <v>4437</v>
      </c>
      <c r="F639" s="80" t="s">
        <v>81</v>
      </c>
      <c r="G639" s="80" t="s">
        <v>42</v>
      </c>
      <c r="H639" s="80" t="s">
        <v>21</v>
      </c>
      <c r="I639" s="80" t="s">
        <v>4438</v>
      </c>
      <c r="J639" s="80" t="s">
        <v>45</v>
      </c>
      <c r="K639" s="80" t="s">
        <v>4439</v>
      </c>
      <c r="L639" s="82" t="s">
        <v>4440</v>
      </c>
      <c r="M639" s="83">
        <f t="shared" si="1"/>
        <v>700</v>
      </c>
      <c r="N639" s="84">
        <v>700.0</v>
      </c>
      <c r="O639" s="84"/>
      <c r="P639" s="84"/>
      <c r="Q639" s="94">
        <v>8691.5</v>
      </c>
      <c r="R639" s="94">
        <v>5092.45</v>
      </c>
      <c r="S639" s="95" t="s">
        <v>4441</v>
      </c>
      <c r="T639" s="94">
        <v>2.0</v>
      </c>
      <c r="U639" s="96">
        <v>39079.0</v>
      </c>
      <c r="V639" s="97" t="s">
        <v>4442</v>
      </c>
      <c r="W639" s="97" t="s">
        <v>4443</v>
      </c>
      <c r="X639" s="79" t="s">
        <v>4444</v>
      </c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  <c r="AO639" s="88"/>
      <c r="AP639" s="88"/>
      <c r="AQ639" s="88"/>
      <c r="AR639" s="88"/>
    </row>
    <row r="640" ht="19.5" customHeight="1">
      <c r="A640" s="79">
        <v>629.0</v>
      </c>
      <c r="B640" s="80" t="s">
        <v>36</v>
      </c>
      <c r="C640" s="80" t="s">
        <v>4435</v>
      </c>
      <c r="D640" s="80" t="s">
        <v>4445</v>
      </c>
      <c r="E640" s="81" t="s">
        <v>4446</v>
      </c>
      <c r="F640" s="80" t="s">
        <v>81</v>
      </c>
      <c r="G640" s="80" t="s">
        <v>44</v>
      </c>
      <c r="H640" s="80" t="s">
        <v>21</v>
      </c>
      <c r="I640" s="80" t="s">
        <v>4438</v>
      </c>
      <c r="J640" s="80" t="s">
        <v>45</v>
      </c>
      <c r="K640" s="80" t="s">
        <v>4439</v>
      </c>
      <c r="L640" s="82" t="s">
        <v>4447</v>
      </c>
      <c r="M640" s="83">
        <f t="shared" si="1"/>
        <v>150</v>
      </c>
      <c r="N640" s="84">
        <v>150.0</v>
      </c>
      <c r="O640" s="84"/>
      <c r="P640" s="84"/>
      <c r="Q640" s="94">
        <v>2308.4</v>
      </c>
      <c r="R640" s="94">
        <v>1238.4</v>
      </c>
      <c r="S640" s="95" t="s">
        <v>314</v>
      </c>
      <c r="T640" s="94">
        <v>1.0</v>
      </c>
      <c r="U640" s="96">
        <v>37042.0</v>
      </c>
      <c r="V640" s="97" t="s">
        <v>4448</v>
      </c>
      <c r="W640" s="97" t="s">
        <v>4449</v>
      </c>
      <c r="X640" s="79" t="s">
        <v>4450</v>
      </c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  <c r="AO640" s="88"/>
      <c r="AP640" s="88"/>
      <c r="AQ640" s="88"/>
      <c r="AR640" s="88"/>
    </row>
    <row r="641" ht="19.5" customHeight="1">
      <c r="A641" s="79">
        <v>630.0</v>
      </c>
      <c r="B641" s="80" t="s">
        <v>36</v>
      </c>
      <c r="C641" s="80" t="s">
        <v>4435</v>
      </c>
      <c r="D641" s="80" t="s">
        <v>1297</v>
      </c>
      <c r="E641" s="81" t="s">
        <v>4451</v>
      </c>
      <c r="F641" s="80" t="s">
        <v>81</v>
      </c>
      <c r="G641" s="80" t="s">
        <v>44</v>
      </c>
      <c r="H641" s="80" t="s">
        <v>21</v>
      </c>
      <c r="I641" s="80" t="s">
        <v>4438</v>
      </c>
      <c r="J641" s="80" t="s">
        <v>45</v>
      </c>
      <c r="K641" s="80" t="s">
        <v>4439</v>
      </c>
      <c r="L641" s="92" t="s">
        <v>4452</v>
      </c>
      <c r="M641" s="83">
        <f t="shared" si="1"/>
        <v>117</v>
      </c>
      <c r="N641" s="84">
        <v>117.0</v>
      </c>
      <c r="O641" s="84"/>
      <c r="P641" s="84"/>
      <c r="Q641" s="94">
        <v>7128.0</v>
      </c>
      <c r="R641" s="94">
        <v>1309.67</v>
      </c>
      <c r="S641" s="95" t="s">
        <v>314</v>
      </c>
      <c r="T641" s="94">
        <v>1.0</v>
      </c>
      <c r="U641" s="96">
        <v>44832.0</v>
      </c>
      <c r="V641" s="97" t="s">
        <v>4453</v>
      </c>
      <c r="W641" s="97" t="s">
        <v>4454</v>
      </c>
      <c r="X641" s="79" t="s">
        <v>4455</v>
      </c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  <c r="AO641" s="88"/>
      <c r="AP641" s="88"/>
      <c r="AQ641" s="88"/>
      <c r="AR641" s="88"/>
    </row>
    <row r="642" ht="19.5" customHeight="1">
      <c r="A642" s="79">
        <v>631.0</v>
      </c>
      <c r="B642" s="91" t="s">
        <v>36</v>
      </c>
      <c r="C642" s="91" t="s">
        <v>4456</v>
      </c>
      <c r="D642" s="91" t="s">
        <v>4457</v>
      </c>
      <c r="E642" s="92" t="s">
        <v>4458</v>
      </c>
      <c r="F642" s="91" t="s">
        <v>687</v>
      </c>
      <c r="G642" s="80" t="s">
        <v>44</v>
      </c>
      <c r="H642" s="80" t="s">
        <v>21</v>
      </c>
      <c r="I642" s="91" t="s">
        <v>4459</v>
      </c>
      <c r="J642" s="80" t="s">
        <v>45</v>
      </c>
      <c r="K642" s="91" t="s">
        <v>4460</v>
      </c>
      <c r="L642" s="82" t="s">
        <v>4461</v>
      </c>
      <c r="M642" s="83">
        <f t="shared" si="1"/>
        <v>150</v>
      </c>
      <c r="N642" s="84">
        <v>150.0</v>
      </c>
      <c r="O642" s="84">
        <v>0.0</v>
      </c>
      <c r="P642" s="84">
        <v>0.0</v>
      </c>
      <c r="Q642" s="94">
        <v>9990.0</v>
      </c>
      <c r="R642" s="94">
        <v>1447.0</v>
      </c>
      <c r="S642" s="95" t="s">
        <v>291</v>
      </c>
      <c r="T642" s="94">
        <v>1.0</v>
      </c>
      <c r="U642" s="96">
        <v>39308.0</v>
      </c>
      <c r="V642" s="97" t="s">
        <v>4462</v>
      </c>
      <c r="W642" s="97" t="s">
        <v>4463</v>
      </c>
      <c r="X642" s="79" t="s">
        <v>4464</v>
      </c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  <c r="AO642" s="88"/>
      <c r="AP642" s="88"/>
      <c r="AQ642" s="88"/>
      <c r="AR642" s="88"/>
    </row>
    <row r="643" ht="19.5" customHeight="1">
      <c r="A643" s="79">
        <v>632.0</v>
      </c>
      <c r="B643" s="80" t="s">
        <v>36</v>
      </c>
      <c r="C643" s="80" t="s">
        <v>4456</v>
      </c>
      <c r="D643" s="80" t="s">
        <v>4465</v>
      </c>
      <c r="E643" s="81" t="s">
        <v>4466</v>
      </c>
      <c r="F643" s="91" t="s">
        <v>687</v>
      </c>
      <c r="G643" s="80" t="s">
        <v>46</v>
      </c>
      <c r="H643" s="80" t="s">
        <v>21</v>
      </c>
      <c r="I643" s="91" t="s">
        <v>4459</v>
      </c>
      <c r="J643" s="80" t="s">
        <v>45</v>
      </c>
      <c r="K643" s="91" t="s">
        <v>4467</v>
      </c>
      <c r="L643" s="82" t="s">
        <v>4468</v>
      </c>
      <c r="M643" s="83">
        <f t="shared" si="1"/>
        <v>407</v>
      </c>
      <c r="N643" s="84">
        <v>50.0</v>
      </c>
      <c r="O643" s="84">
        <v>357.0</v>
      </c>
      <c r="P643" s="84"/>
      <c r="Q643" s="94">
        <v>3245.0</v>
      </c>
      <c r="R643" s="94">
        <v>3647.0</v>
      </c>
      <c r="S643" s="95" t="s">
        <v>103</v>
      </c>
      <c r="T643" s="94">
        <v>1.0</v>
      </c>
      <c r="U643" s="96">
        <v>36122.0</v>
      </c>
      <c r="V643" s="97" t="s">
        <v>4469</v>
      </c>
      <c r="W643" s="97" t="s">
        <v>4470</v>
      </c>
      <c r="X643" s="79" t="s">
        <v>4471</v>
      </c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  <c r="AO643" s="88"/>
      <c r="AP643" s="88"/>
      <c r="AQ643" s="88"/>
      <c r="AR643" s="88"/>
    </row>
    <row r="644" ht="19.5" customHeight="1">
      <c r="A644" s="79">
        <v>633.0</v>
      </c>
      <c r="B644" s="80" t="s">
        <v>36</v>
      </c>
      <c r="C644" s="80" t="s">
        <v>4472</v>
      </c>
      <c r="D644" s="80" t="s">
        <v>3159</v>
      </c>
      <c r="E644" s="81" t="s">
        <v>4473</v>
      </c>
      <c r="F644" s="80" t="s">
        <v>81</v>
      </c>
      <c r="G644" s="80" t="s">
        <v>42</v>
      </c>
      <c r="H644" s="80" t="s">
        <v>21</v>
      </c>
      <c r="I644" s="80" t="s">
        <v>4474</v>
      </c>
      <c r="J644" s="80" t="s">
        <v>45</v>
      </c>
      <c r="K644" s="80"/>
      <c r="L644" s="92" t="s">
        <v>4475</v>
      </c>
      <c r="M644" s="83">
        <f t="shared" si="1"/>
        <v>500</v>
      </c>
      <c r="N644" s="84">
        <v>500.0</v>
      </c>
      <c r="O644" s="84"/>
      <c r="P644" s="84"/>
      <c r="Q644" s="94">
        <v>10273.0</v>
      </c>
      <c r="R644" s="94">
        <v>2310.0</v>
      </c>
      <c r="S644" s="95" t="s">
        <v>697</v>
      </c>
      <c r="T644" s="94">
        <v>1.0</v>
      </c>
      <c r="U644" s="96">
        <v>39646.0</v>
      </c>
      <c r="V644" s="97" t="s">
        <v>4476</v>
      </c>
      <c r="W644" s="97" t="s">
        <v>4477</v>
      </c>
      <c r="X644" s="79" t="s">
        <v>4478</v>
      </c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  <c r="AO644" s="88"/>
      <c r="AP644" s="88"/>
      <c r="AQ644" s="88"/>
      <c r="AR644" s="88"/>
    </row>
    <row r="645" ht="19.5" customHeight="1">
      <c r="A645" s="79">
        <v>634.0</v>
      </c>
      <c r="B645" s="91" t="s">
        <v>36</v>
      </c>
      <c r="C645" s="91" t="s">
        <v>4472</v>
      </c>
      <c r="D645" s="91" t="s">
        <v>4479</v>
      </c>
      <c r="E645" s="92" t="s">
        <v>4480</v>
      </c>
      <c r="F645" s="91" t="s">
        <v>22</v>
      </c>
      <c r="G645" s="80" t="s">
        <v>12</v>
      </c>
      <c r="H645" s="80" t="s">
        <v>22</v>
      </c>
      <c r="I645" s="91" t="s">
        <v>4474</v>
      </c>
      <c r="J645" s="80" t="s">
        <v>45</v>
      </c>
      <c r="K645" s="79" t="s">
        <v>4481</v>
      </c>
      <c r="L645" s="93" t="s">
        <v>4482</v>
      </c>
      <c r="M645" s="83">
        <f t="shared" si="1"/>
        <v>466</v>
      </c>
      <c r="N645" s="84">
        <v>265.0</v>
      </c>
      <c r="O645" s="84">
        <v>201.0</v>
      </c>
      <c r="P645" s="84">
        <v>0.0</v>
      </c>
      <c r="Q645" s="94">
        <v>7450.0</v>
      </c>
      <c r="R645" s="94">
        <v>3289.86</v>
      </c>
      <c r="S645" s="95" t="s">
        <v>380</v>
      </c>
      <c r="T645" s="94">
        <v>1.0</v>
      </c>
      <c r="U645" s="96">
        <v>44587.0</v>
      </c>
      <c r="V645" s="97" t="s">
        <v>4483</v>
      </c>
      <c r="W645" s="97" t="s">
        <v>4483</v>
      </c>
      <c r="X645" s="79" t="s">
        <v>4484</v>
      </c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  <c r="AO645" s="88"/>
      <c r="AP645" s="88"/>
      <c r="AQ645" s="88"/>
      <c r="AR645" s="88"/>
    </row>
    <row r="646" ht="19.5" customHeight="1">
      <c r="A646" s="79">
        <v>635.0</v>
      </c>
      <c r="B646" s="80" t="s">
        <v>36</v>
      </c>
      <c r="C646" s="80" t="s">
        <v>4485</v>
      </c>
      <c r="D646" s="80" t="s">
        <v>4486</v>
      </c>
      <c r="E646" s="81" t="s">
        <v>4487</v>
      </c>
      <c r="F646" s="80" t="s">
        <v>22</v>
      </c>
      <c r="G646" s="80" t="s">
        <v>48</v>
      </c>
      <c r="H646" s="80" t="s">
        <v>22</v>
      </c>
      <c r="I646" s="80" t="s">
        <v>4488</v>
      </c>
      <c r="J646" s="80" t="s">
        <v>43</v>
      </c>
      <c r="K646" s="80" t="s">
        <v>4489</v>
      </c>
      <c r="L646" s="92" t="s">
        <v>4490</v>
      </c>
      <c r="M646" s="83">
        <f t="shared" si="1"/>
        <v>50</v>
      </c>
      <c r="N646" s="84"/>
      <c r="O646" s="84"/>
      <c r="P646" s="84">
        <v>50.0</v>
      </c>
      <c r="Q646" s="94">
        <v>5136.0</v>
      </c>
      <c r="R646" s="94">
        <v>338.56</v>
      </c>
      <c r="S646" s="95" t="s">
        <v>704</v>
      </c>
      <c r="T646" s="94">
        <v>3.0</v>
      </c>
      <c r="U646" s="96">
        <v>35016.0</v>
      </c>
      <c r="V646" s="97" t="s">
        <v>4491</v>
      </c>
      <c r="W646" s="97" t="s">
        <v>4492</v>
      </c>
      <c r="X646" s="79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  <c r="AO646" s="88"/>
      <c r="AP646" s="88"/>
      <c r="AQ646" s="88"/>
      <c r="AR646" s="88"/>
    </row>
    <row r="647" ht="19.5" customHeight="1">
      <c r="A647" s="79">
        <v>636.0</v>
      </c>
      <c r="B647" s="80" t="s">
        <v>36</v>
      </c>
      <c r="C647" s="80" t="s">
        <v>4485</v>
      </c>
      <c r="D647" s="80" t="s">
        <v>4493</v>
      </c>
      <c r="E647" s="81" t="s">
        <v>4494</v>
      </c>
      <c r="F647" s="80" t="s">
        <v>687</v>
      </c>
      <c r="G647" s="80" t="s">
        <v>44</v>
      </c>
      <c r="H647" s="80" t="s">
        <v>21</v>
      </c>
      <c r="I647" s="80" t="s">
        <v>4495</v>
      </c>
      <c r="J647" s="80" t="s">
        <v>43</v>
      </c>
      <c r="K647" s="80" t="s">
        <v>4495</v>
      </c>
      <c r="L647" s="92" t="s">
        <v>4496</v>
      </c>
      <c r="M647" s="83">
        <f t="shared" si="1"/>
        <v>150</v>
      </c>
      <c r="N647" s="84">
        <v>150.0</v>
      </c>
      <c r="O647" s="84"/>
      <c r="P647" s="84"/>
      <c r="Q647" s="94">
        <v>6569.51</v>
      </c>
      <c r="R647" s="94">
        <v>2627.86</v>
      </c>
      <c r="S647" s="95" t="s">
        <v>103</v>
      </c>
      <c r="T647" s="94">
        <v>1.0</v>
      </c>
      <c r="U647" s="96">
        <v>37088.0</v>
      </c>
      <c r="V647" s="97" t="s">
        <v>4497</v>
      </c>
      <c r="W647" s="97" t="s">
        <v>4498</v>
      </c>
      <c r="X647" s="79" t="s">
        <v>4499</v>
      </c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  <c r="AO647" s="88"/>
      <c r="AP647" s="88"/>
      <c r="AQ647" s="88"/>
      <c r="AR647" s="88"/>
    </row>
    <row r="648" ht="19.5" customHeight="1">
      <c r="A648" s="79">
        <v>637.0</v>
      </c>
      <c r="B648" s="80" t="s">
        <v>36</v>
      </c>
      <c r="C648" s="80" t="s">
        <v>4485</v>
      </c>
      <c r="D648" s="80" t="s">
        <v>4500</v>
      </c>
      <c r="E648" s="81" t="s">
        <v>4501</v>
      </c>
      <c r="F648" s="80" t="s">
        <v>687</v>
      </c>
      <c r="G648" s="80" t="s">
        <v>46</v>
      </c>
      <c r="H648" s="80" t="s">
        <v>21</v>
      </c>
      <c r="I648" s="80" t="s">
        <v>4495</v>
      </c>
      <c r="J648" s="80" t="s">
        <v>45</v>
      </c>
      <c r="K648" s="80" t="s">
        <v>4502</v>
      </c>
      <c r="L648" s="92" t="s">
        <v>4503</v>
      </c>
      <c r="M648" s="83">
        <f t="shared" si="1"/>
        <v>200</v>
      </c>
      <c r="N648" s="84"/>
      <c r="O648" s="84">
        <v>200.0</v>
      </c>
      <c r="P648" s="84"/>
      <c r="Q648" s="94">
        <v>6621.0</v>
      </c>
      <c r="R648" s="94">
        <v>3537.0</v>
      </c>
      <c r="S648" s="95" t="s">
        <v>291</v>
      </c>
      <c r="T648" s="94">
        <v>4.0</v>
      </c>
      <c r="U648" s="96">
        <v>37088.0</v>
      </c>
      <c r="V648" s="97" t="s">
        <v>4504</v>
      </c>
      <c r="W648" s="97" t="s">
        <v>4505</v>
      </c>
      <c r="X648" s="79" t="s">
        <v>4506</v>
      </c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  <c r="AO648" s="88"/>
      <c r="AP648" s="88"/>
      <c r="AQ648" s="88"/>
      <c r="AR648" s="88"/>
    </row>
    <row r="649" ht="19.5" customHeight="1">
      <c r="A649" s="79">
        <v>638.0</v>
      </c>
      <c r="B649" s="95" t="s">
        <v>36</v>
      </c>
      <c r="C649" s="95" t="s">
        <v>4485</v>
      </c>
      <c r="D649" s="95" t="s">
        <v>4500</v>
      </c>
      <c r="E649" s="100" t="s">
        <v>4507</v>
      </c>
      <c r="F649" s="95" t="s">
        <v>22</v>
      </c>
      <c r="G649" s="80" t="s">
        <v>46</v>
      </c>
      <c r="H649" s="80" t="s">
        <v>22</v>
      </c>
      <c r="I649" s="95" t="s">
        <v>4508</v>
      </c>
      <c r="J649" s="80" t="s">
        <v>43</v>
      </c>
      <c r="K649" s="80" t="s">
        <v>4502</v>
      </c>
      <c r="L649" s="92" t="s">
        <v>4509</v>
      </c>
      <c r="M649" s="83">
        <f t="shared" si="1"/>
        <v>638</v>
      </c>
      <c r="N649" s="84"/>
      <c r="O649" s="84">
        <v>638.0</v>
      </c>
      <c r="P649" s="84"/>
      <c r="Q649" s="94">
        <v>669683.0</v>
      </c>
      <c r="R649" s="94">
        <v>5487.0</v>
      </c>
      <c r="S649" s="95" t="s">
        <v>194</v>
      </c>
      <c r="T649" s="94">
        <v>17.0</v>
      </c>
      <c r="U649" s="96">
        <v>34336.0</v>
      </c>
      <c r="V649" s="97" t="s">
        <v>4510</v>
      </c>
      <c r="W649" s="97" t="s">
        <v>4511</v>
      </c>
      <c r="X649" s="79" t="s">
        <v>4506</v>
      </c>
      <c r="Y649" s="88"/>
      <c r="Z649" s="88"/>
      <c r="AA649" s="88"/>
      <c r="AB649" s="88"/>
      <c r="AC649" s="88"/>
      <c r="AD649" s="88"/>
      <c r="AE649" s="88"/>
      <c r="AF649" s="88"/>
      <c r="AG649" s="88"/>
      <c r="AH649" s="88"/>
      <c r="AI649" s="88"/>
      <c r="AJ649" s="88"/>
      <c r="AK649" s="88"/>
      <c r="AL649" s="88"/>
      <c r="AM649" s="88"/>
      <c r="AN649" s="88"/>
      <c r="AO649" s="88"/>
      <c r="AP649" s="88"/>
      <c r="AQ649" s="88"/>
      <c r="AR649" s="88"/>
    </row>
    <row r="650" ht="19.5" customHeight="1">
      <c r="A650" s="79">
        <v>639.0</v>
      </c>
      <c r="B650" s="80" t="s">
        <v>36</v>
      </c>
      <c r="C650" s="80" t="s">
        <v>4512</v>
      </c>
      <c r="D650" s="80" t="s">
        <v>4513</v>
      </c>
      <c r="E650" s="81" t="s">
        <v>4514</v>
      </c>
      <c r="F650" s="80" t="s">
        <v>81</v>
      </c>
      <c r="G650" s="80" t="s">
        <v>46</v>
      </c>
      <c r="H650" s="80" t="s">
        <v>21</v>
      </c>
      <c r="I650" s="80" t="s">
        <v>4515</v>
      </c>
      <c r="J650" s="80" t="s">
        <v>45</v>
      </c>
      <c r="K650" s="80" t="s">
        <v>4516</v>
      </c>
      <c r="L650" s="92" t="s">
        <v>4517</v>
      </c>
      <c r="M650" s="83">
        <f t="shared" si="1"/>
        <v>600</v>
      </c>
      <c r="N650" s="84">
        <v>0.0</v>
      </c>
      <c r="O650" s="84">
        <v>600.0</v>
      </c>
      <c r="P650" s="84">
        <v>0.0</v>
      </c>
      <c r="Q650" s="94">
        <v>20717.0</v>
      </c>
      <c r="R650" s="94">
        <v>5268.0</v>
      </c>
      <c r="S650" s="95" t="s">
        <v>314</v>
      </c>
      <c r="T650" s="94">
        <v>4.0</v>
      </c>
      <c r="U650" s="96">
        <v>35149.0</v>
      </c>
      <c r="V650" s="97" t="s">
        <v>4518</v>
      </c>
      <c r="W650" s="97" t="s">
        <v>4519</v>
      </c>
      <c r="X650" s="79" t="s">
        <v>4520</v>
      </c>
      <c r="Y650" s="88"/>
      <c r="Z650" s="88"/>
      <c r="AA650" s="88"/>
      <c r="AB650" s="88"/>
      <c r="AC650" s="88"/>
      <c r="AD650" s="88"/>
      <c r="AE650" s="88"/>
      <c r="AF650" s="88"/>
      <c r="AG650" s="88"/>
      <c r="AH650" s="88"/>
      <c r="AI650" s="88"/>
      <c r="AJ650" s="88"/>
      <c r="AK650" s="88"/>
      <c r="AL650" s="88"/>
      <c r="AM650" s="88"/>
      <c r="AN650" s="88"/>
      <c r="AO650" s="88"/>
      <c r="AP650" s="88"/>
      <c r="AQ650" s="88"/>
      <c r="AR650" s="88"/>
    </row>
    <row r="651" ht="19.5" customHeight="1">
      <c r="A651" s="79">
        <v>640.0</v>
      </c>
      <c r="B651" s="80" t="s">
        <v>36</v>
      </c>
      <c r="C651" s="80" t="s">
        <v>4512</v>
      </c>
      <c r="D651" s="80" t="s">
        <v>4521</v>
      </c>
      <c r="E651" s="81" t="s">
        <v>4522</v>
      </c>
      <c r="F651" s="80" t="s">
        <v>81</v>
      </c>
      <c r="G651" s="80" t="s">
        <v>44</v>
      </c>
      <c r="H651" s="80" t="s">
        <v>21</v>
      </c>
      <c r="I651" s="80" t="s">
        <v>4515</v>
      </c>
      <c r="J651" s="80" t="s">
        <v>45</v>
      </c>
      <c r="K651" s="80" t="s">
        <v>4516</v>
      </c>
      <c r="L651" s="92" t="s">
        <v>4523</v>
      </c>
      <c r="M651" s="83">
        <f t="shared" si="1"/>
        <v>150</v>
      </c>
      <c r="N651" s="84">
        <v>150.0</v>
      </c>
      <c r="O651" s="84">
        <v>0.0</v>
      </c>
      <c r="P651" s="84">
        <v>0.0</v>
      </c>
      <c r="Q651" s="94">
        <v>635.0</v>
      </c>
      <c r="R651" s="94">
        <v>1213.0</v>
      </c>
      <c r="S651" s="95" t="s">
        <v>314</v>
      </c>
      <c r="T651" s="94">
        <v>1.0</v>
      </c>
      <c r="U651" s="96">
        <v>40158.0</v>
      </c>
      <c r="V651" s="97" t="s">
        <v>4524</v>
      </c>
      <c r="W651" s="97" t="s">
        <v>4525</v>
      </c>
      <c r="X651" s="79" t="s">
        <v>4526</v>
      </c>
      <c r="Y651" s="88"/>
      <c r="Z651" s="88"/>
      <c r="AA651" s="88"/>
      <c r="AB651" s="88"/>
      <c r="AC651" s="88"/>
      <c r="AD651" s="88"/>
      <c r="AE651" s="88"/>
      <c r="AF651" s="88"/>
      <c r="AG651" s="88"/>
      <c r="AH651" s="88"/>
      <c r="AI651" s="88"/>
      <c r="AJ651" s="88"/>
      <c r="AK651" s="88"/>
      <c r="AL651" s="88"/>
      <c r="AM651" s="88"/>
      <c r="AN651" s="88"/>
      <c r="AO651" s="88"/>
      <c r="AP651" s="88"/>
      <c r="AQ651" s="88"/>
      <c r="AR651" s="88"/>
    </row>
    <row r="652" ht="19.5" customHeight="1">
      <c r="A652" s="79">
        <v>641.0</v>
      </c>
      <c r="B652" s="80" t="s">
        <v>36</v>
      </c>
      <c r="C652" s="80" t="s">
        <v>4512</v>
      </c>
      <c r="D652" s="80" t="s">
        <v>4527</v>
      </c>
      <c r="E652" s="81" t="s">
        <v>4528</v>
      </c>
      <c r="F652" s="80" t="s">
        <v>81</v>
      </c>
      <c r="G652" s="80" t="s">
        <v>44</v>
      </c>
      <c r="H652" s="80" t="s">
        <v>21</v>
      </c>
      <c r="I652" s="80" t="s">
        <v>4515</v>
      </c>
      <c r="J652" s="80" t="s">
        <v>45</v>
      </c>
      <c r="K652" s="80" t="s">
        <v>4516</v>
      </c>
      <c r="L652" s="92" t="s">
        <v>4529</v>
      </c>
      <c r="M652" s="83">
        <f t="shared" si="1"/>
        <v>150</v>
      </c>
      <c r="N652" s="84">
        <v>150.0</v>
      </c>
      <c r="O652" s="84">
        <v>0.0</v>
      </c>
      <c r="P652" s="84">
        <v>0.0</v>
      </c>
      <c r="Q652" s="94">
        <v>432.0</v>
      </c>
      <c r="R652" s="94">
        <v>1260.0</v>
      </c>
      <c r="S652" s="95" t="s">
        <v>314</v>
      </c>
      <c r="T652" s="94">
        <v>1.0</v>
      </c>
      <c r="U652" s="96">
        <v>43522.0</v>
      </c>
      <c r="V652" s="97" t="s">
        <v>4530</v>
      </c>
      <c r="W652" s="97" t="s">
        <v>4531</v>
      </c>
      <c r="X652" s="79" t="s">
        <v>4532</v>
      </c>
      <c r="Y652" s="88"/>
      <c r="Z652" s="88"/>
      <c r="AA652" s="88"/>
      <c r="AB652" s="88"/>
      <c r="AC652" s="88"/>
      <c r="AD652" s="88"/>
      <c r="AE652" s="88"/>
      <c r="AF652" s="88"/>
      <c r="AG652" s="88"/>
      <c r="AH652" s="88"/>
      <c r="AI652" s="88"/>
      <c r="AJ652" s="88"/>
      <c r="AK652" s="88"/>
      <c r="AL652" s="88"/>
      <c r="AM652" s="88"/>
      <c r="AN652" s="88"/>
      <c r="AO652" s="88"/>
      <c r="AP652" s="88"/>
      <c r="AQ652" s="88"/>
      <c r="AR652" s="88"/>
    </row>
    <row r="653" ht="19.5" customHeight="1">
      <c r="A653" s="79">
        <v>642.0</v>
      </c>
      <c r="B653" s="80" t="s">
        <v>36</v>
      </c>
      <c r="C653" s="80" t="s">
        <v>4533</v>
      </c>
      <c r="D653" s="80" t="s">
        <v>4534</v>
      </c>
      <c r="E653" s="81" t="s">
        <v>4535</v>
      </c>
      <c r="F653" s="80" t="s">
        <v>687</v>
      </c>
      <c r="G653" s="80" t="s">
        <v>42</v>
      </c>
      <c r="H653" s="80" t="s">
        <v>21</v>
      </c>
      <c r="I653" s="80" t="s">
        <v>4536</v>
      </c>
      <c r="J653" s="80" t="s">
        <v>43</v>
      </c>
      <c r="K653" s="80" t="s">
        <v>4533</v>
      </c>
      <c r="L653" s="92" t="s">
        <v>4537</v>
      </c>
      <c r="M653" s="83">
        <f t="shared" si="1"/>
        <v>256</v>
      </c>
      <c r="N653" s="84">
        <v>256.0</v>
      </c>
      <c r="O653" s="84">
        <v>0.0</v>
      </c>
      <c r="P653" s="84">
        <v>0.0</v>
      </c>
      <c r="Q653" s="94">
        <v>4574.0</v>
      </c>
      <c r="R653" s="94">
        <v>2389.5</v>
      </c>
      <c r="S653" s="95" t="s">
        <v>4538</v>
      </c>
      <c r="T653" s="94">
        <v>1.0</v>
      </c>
      <c r="U653" s="96">
        <v>40728.0</v>
      </c>
      <c r="V653" s="97" t="s">
        <v>4539</v>
      </c>
      <c r="W653" s="97" t="s">
        <v>4540</v>
      </c>
      <c r="X653" s="79"/>
      <c r="Y653" s="88"/>
      <c r="Z653" s="88"/>
      <c r="AA653" s="88"/>
      <c r="AB653" s="88"/>
      <c r="AC653" s="88"/>
      <c r="AD653" s="88"/>
      <c r="AE653" s="88"/>
      <c r="AF653" s="88"/>
      <c r="AG653" s="88"/>
      <c r="AH653" s="88"/>
      <c r="AI653" s="88"/>
      <c r="AJ653" s="88"/>
      <c r="AK653" s="88"/>
      <c r="AL653" s="88"/>
      <c r="AM653" s="88"/>
      <c r="AN653" s="88"/>
      <c r="AO653" s="88"/>
      <c r="AP653" s="88"/>
      <c r="AQ653" s="88"/>
      <c r="AR653" s="88"/>
    </row>
    <row r="654" ht="19.5" customHeight="1">
      <c r="A654" s="79">
        <v>643.0</v>
      </c>
      <c r="B654" s="80" t="s">
        <v>36</v>
      </c>
      <c r="C654" s="80" t="s">
        <v>4533</v>
      </c>
      <c r="D654" s="80" t="s">
        <v>4541</v>
      </c>
      <c r="E654" s="81" t="s">
        <v>4542</v>
      </c>
      <c r="F654" s="80" t="s">
        <v>687</v>
      </c>
      <c r="G654" s="80" t="s">
        <v>44</v>
      </c>
      <c r="H654" s="80" t="s">
        <v>21</v>
      </c>
      <c r="I654" s="80" t="s">
        <v>4536</v>
      </c>
      <c r="J654" s="80" t="s">
        <v>43</v>
      </c>
      <c r="K654" s="80" t="s">
        <v>4533</v>
      </c>
      <c r="L654" s="92" t="s">
        <v>4543</v>
      </c>
      <c r="M654" s="83">
        <f t="shared" si="1"/>
        <v>150</v>
      </c>
      <c r="N654" s="84">
        <v>150.0</v>
      </c>
      <c r="O654" s="84"/>
      <c r="P654" s="84"/>
      <c r="Q654" s="94">
        <v>6663.0</v>
      </c>
      <c r="R654" s="94">
        <v>1326.0</v>
      </c>
      <c r="S654" s="95" t="s">
        <v>314</v>
      </c>
      <c r="T654" s="94">
        <v>1.0</v>
      </c>
      <c r="U654" s="96">
        <v>45246.0</v>
      </c>
      <c r="V654" s="97" t="s">
        <v>4539</v>
      </c>
      <c r="W654" s="97" t="s">
        <v>4540</v>
      </c>
      <c r="X654" s="79"/>
      <c r="Y654" s="88"/>
      <c r="Z654" s="88"/>
      <c r="AA654" s="88"/>
      <c r="AB654" s="88"/>
      <c r="AC654" s="88"/>
      <c r="AD654" s="88"/>
      <c r="AE654" s="88"/>
      <c r="AF654" s="88"/>
      <c r="AG654" s="88"/>
      <c r="AH654" s="88"/>
      <c r="AI654" s="88"/>
      <c r="AJ654" s="88"/>
      <c r="AK654" s="88"/>
      <c r="AL654" s="88"/>
      <c r="AM654" s="88"/>
      <c r="AN654" s="88"/>
      <c r="AO654" s="88"/>
      <c r="AP654" s="88"/>
      <c r="AQ654" s="88"/>
      <c r="AR654" s="88"/>
    </row>
    <row r="655" ht="19.5" customHeight="1">
      <c r="A655" s="79">
        <v>644.0</v>
      </c>
      <c r="B655" s="80" t="s">
        <v>36</v>
      </c>
      <c r="C655" s="80" t="s">
        <v>4544</v>
      </c>
      <c r="D655" s="80" t="s">
        <v>4545</v>
      </c>
      <c r="E655" s="81" t="s">
        <v>4546</v>
      </c>
      <c r="F655" s="80" t="s">
        <v>687</v>
      </c>
      <c r="G655" s="80" t="s">
        <v>44</v>
      </c>
      <c r="H655" s="80" t="s">
        <v>21</v>
      </c>
      <c r="I655" s="80" t="s">
        <v>4547</v>
      </c>
      <c r="J655" s="80" t="s">
        <v>45</v>
      </c>
      <c r="K655" s="80" t="s">
        <v>4548</v>
      </c>
      <c r="L655" s="92" t="s">
        <v>4549</v>
      </c>
      <c r="M655" s="83">
        <f t="shared" si="1"/>
        <v>80</v>
      </c>
      <c r="N655" s="84">
        <v>80.0</v>
      </c>
      <c r="O655" s="84"/>
      <c r="P655" s="84"/>
      <c r="Q655" s="94">
        <v>2300.0</v>
      </c>
      <c r="R655" s="94">
        <v>671.36</v>
      </c>
      <c r="S655" s="95" t="s">
        <v>350</v>
      </c>
      <c r="T655" s="94">
        <v>1.0</v>
      </c>
      <c r="U655" s="96">
        <v>40134.0</v>
      </c>
      <c r="V655" s="97" t="s">
        <v>4550</v>
      </c>
      <c r="W655" s="97" t="s">
        <v>4551</v>
      </c>
      <c r="X655" s="79" t="s">
        <v>4552</v>
      </c>
      <c r="Y655" s="88"/>
      <c r="Z655" s="88"/>
      <c r="AA655" s="88"/>
      <c r="AB655" s="88"/>
      <c r="AC655" s="88"/>
      <c r="AD655" s="88"/>
      <c r="AE655" s="88"/>
      <c r="AF655" s="88"/>
      <c r="AG655" s="88"/>
      <c r="AH655" s="88"/>
      <c r="AI655" s="88"/>
      <c r="AJ655" s="88"/>
      <c r="AK655" s="88"/>
      <c r="AL655" s="88"/>
      <c r="AM655" s="88"/>
      <c r="AN655" s="88"/>
      <c r="AO655" s="88"/>
      <c r="AP655" s="88"/>
      <c r="AQ655" s="88"/>
      <c r="AR655" s="88"/>
    </row>
    <row r="656" ht="19.5" customHeight="1">
      <c r="A656" s="79">
        <v>645.0</v>
      </c>
      <c r="B656" s="80" t="s">
        <v>36</v>
      </c>
      <c r="C656" s="80" t="s">
        <v>4544</v>
      </c>
      <c r="D656" s="80" t="s">
        <v>4545</v>
      </c>
      <c r="E656" s="81" t="s">
        <v>4553</v>
      </c>
      <c r="F656" s="80" t="s">
        <v>687</v>
      </c>
      <c r="G656" s="80" t="s">
        <v>46</v>
      </c>
      <c r="H656" s="80" t="s">
        <v>21</v>
      </c>
      <c r="I656" s="80" t="s">
        <v>4547</v>
      </c>
      <c r="J656" s="80" t="s">
        <v>45</v>
      </c>
      <c r="K656" s="80" t="s">
        <v>4554</v>
      </c>
      <c r="L656" s="92" t="s">
        <v>4555</v>
      </c>
      <c r="M656" s="83">
        <f t="shared" si="1"/>
        <v>350</v>
      </c>
      <c r="N656" s="84"/>
      <c r="O656" s="84">
        <v>350.0</v>
      </c>
      <c r="P656" s="84"/>
      <c r="Q656" s="94">
        <v>6322.0</v>
      </c>
      <c r="R656" s="94">
        <v>7066.57</v>
      </c>
      <c r="S656" s="95" t="s">
        <v>380</v>
      </c>
      <c r="T656" s="94">
        <v>1.0</v>
      </c>
      <c r="U656" s="96">
        <v>41967.0</v>
      </c>
      <c r="V656" s="97" t="s">
        <v>4556</v>
      </c>
      <c r="W656" s="97" t="s">
        <v>4557</v>
      </c>
      <c r="X656" s="79" t="s">
        <v>4558</v>
      </c>
      <c r="Y656" s="88"/>
      <c r="Z656" s="88"/>
      <c r="AA656" s="88"/>
      <c r="AB656" s="88"/>
      <c r="AC656" s="88"/>
      <c r="AD656" s="88"/>
      <c r="AE656" s="88"/>
      <c r="AF656" s="88"/>
      <c r="AG656" s="88"/>
      <c r="AH656" s="88"/>
      <c r="AI656" s="88"/>
      <c r="AJ656" s="88"/>
      <c r="AK656" s="88"/>
      <c r="AL656" s="88"/>
      <c r="AM656" s="88"/>
      <c r="AN656" s="88"/>
      <c r="AO656" s="88"/>
      <c r="AP656" s="88"/>
      <c r="AQ656" s="88"/>
      <c r="AR656" s="88"/>
    </row>
    <row r="657" ht="19.5" customHeight="1">
      <c r="A657" s="79">
        <v>646.0</v>
      </c>
      <c r="B657" s="80" t="s">
        <v>36</v>
      </c>
      <c r="C657" s="80" t="s">
        <v>4559</v>
      </c>
      <c r="D657" s="80" t="s">
        <v>4560</v>
      </c>
      <c r="E657" s="81" t="s">
        <v>4561</v>
      </c>
      <c r="F657" s="80" t="s">
        <v>81</v>
      </c>
      <c r="G657" s="80" t="s">
        <v>46</v>
      </c>
      <c r="H657" s="80" t="s">
        <v>21</v>
      </c>
      <c r="I657" s="80" t="s">
        <v>4562</v>
      </c>
      <c r="J657" s="80" t="s">
        <v>45</v>
      </c>
      <c r="K657" s="80" t="s">
        <v>93</v>
      </c>
      <c r="L657" s="92" t="s">
        <v>4563</v>
      </c>
      <c r="M657" s="83">
        <f t="shared" si="1"/>
        <v>404</v>
      </c>
      <c r="N657" s="84">
        <v>0.0</v>
      </c>
      <c r="O657" s="84">
        <v>404.0</v>
      </c>
      <c r="P657" s="84">
        <v>0.0</v>
      </c>
      <c r="Q657" s="94">
        <v>37658.0</v>
      </c>
      <c r="R657" s="94">
        <v>5800.0</v>
      </c>
      <c r="S657" s="95" t="s">
        <v>291</v>
      </c>
      <c r="T657" s="94">
        <v>14.0</v>
      </c>
      <c r="U657" s="96">
        <v>34264.0</v>
      </c>
      <c r="V657" s="97" t="s">
        <v>4564</v>
      </c>
      <c r="W657" s="97" t="s">
        <v>4565</v>
      </c>
      <c r="X657" s="79" t="s">
        <v>4566</v>
      </c>
      <c r="Y657" s="88"/>
      <c r="Z657" s="88"/>
      <c r="AA657" s="88"/>
      <c r="AB657" s="88"/>
      <c r="AC657" s="88"/>
      <c r="AD657" s="88"/>
      <c r="AE657" s="88"/>
      <c r="AF657" s="88"/>
      <c r="AG657" s="88"/>
      <c r="AH657" s="88"/>
      <c r="AI657" s="88"/>
      <c r="AJ657" s="88"/>
      <c r="AK657" s="88"/>
      <c r="AL657" s="88"/>
      <c r="AM657" s="88"/>
      <c r="AN657" s="88"/>
      <c r="AO657" s="88"/>
      <c r="AP657" s="88"/>
      <c r="AQ657" s="88"/>
      <c r="AR657" s="88"/>
    </row>
    <row r="658" ht="19.5" customHeight="1">
      <c r="A658" s="79">
        <v>647.0</v>
      </c>
      <c r="B658" s="80" t="s">
        <v>36</v>
      </c>
      <c r="C658" s="80" t="s">
        <v>4559</v>
      </c>
      <c r="D658" s="80" t="s">
        <v>4560</v>
      </c>
      <c r="E658" s="81" t="s">
        <v>4567</v>
      </c>
      <c r="F658" s="80" t="s">
        <v>81</v>
      </c>
      <c r="G658" s="80" t="s">
        <v>48</v>
      </c>
      <c r="H658" s="80" t="s">
        <v>21</v>
      </c>
      <c r="I658" s="80" t="s">
        <v>4562</v>
      </c>
      <c r="J658" s="80" t="s">
        <v>45</v>
      </c>
      <c r="K658" s="80" t="s">
        <v>93</v>
      </c>
      <c r="L658" s="92" t="s">
        <v>4563</v>
      </c>
      <c r="M658" s="83">
        <f t="shared" si="1"/>
        <v>60</v>
      </c>
      <c r="N658" s="84">
        <v>0.0</v>
      </c>
      <c r="O658" s="84">
        <v>0.0</v>
      </c>
      <c r="P658" s="84">
        <v>60.0</v>
      </c>
      <c r="Q658" s="94">
        <v>61581.0</v>
      </c>
      <c r="R658" s="94">
        <v>0.0</v>
      </c>
      <c r="S658" s="95" t="s">
        <v>40</v>
      </c>
      <c r="T658" s="94">
        <v>0.0</v>
      </c>
      <c r="U658" s="96">
        <v>39379.0</v>
      </c>
      <c r="V658" s="97" t="s">
        <v>4568</v>
      </c>
      <c r="W658" s="97" t="s">
        <v>4565</v>
      </c>
      <c r="X658" s="79" t="s">
        <v>4566</v>
      </c>
      <c r="Y658" s="88"/>
      <c r="Z658" s="88"/>
      <c r="AA658" s="88"/>
      <c r="AB658" s="88"/>
      <c r="AC658" s="88"/>
      <c r="AD658" s="88"/>
      <c r="AE658" s="88"/>
      <c r="AF658" s="88"/>
      <c r="AG658" s="88"/>
      <c r="AH658" s="88"/>
      <c r="AI658" s="88"/>
      <c r="AJ658" s="88"/>
      <c r="AK658" s="88"/>
      <c r="AL658" s="88"/>
      <c r="AM658" s="88"/>
      <c r="AN658" s="88"/>
      <c r="AO658" s="88"/>
      <c r="AP658" s="88"/>
      <c r="AQ658" s="88"/>
      <c r="AR658" s="88"/>
    </row>
    <row r="659" ht="19.5" customHeight="1">
      <c r="A659" s="79">
        <v>648.0</v>
      </c>
      <c r="B659" s="80" t="s">
        <v>36</v>
      </c>
      <c r="C659" s="80" t="s">
        <v>4559</v>
      </c>
      <c r="D659" s="80" t="s">
        <v>4560</v>
      </c>
      <c r="E659" s="81" t="s">
        <v>4569</v>
      </c>
      <c r="F659" s="80" t="s">
        <v>81</v>
      </c>
      <c r="G659" s="80" t="s">
        <v>12</v>
      </c>
      <c r="H659" s="80" t="s">
        <v>21</v>
      </c>
      <c r="I659" s="80" t="s">
        <v>4562</v>
      </c>
      <c r="J659" s="80" t="s">
        <v>45</v>
      </c>
      <c r="K659" s="80" t="s">
        <v>93</v>
      </c>
      <c r="L659" s="92" t="s">
        <v>4563</v>
      </c>
      <c r="M659" s="83">
        <f t="shared" si="1"/>
        <v>136</v>
      </c>
      <c r="N659" s="84">
        <v>0.0</v>
      </c>
      <c r="O659" s="84">
        <v>136.0</v>
      </c>
      <c r="P659" s="84">
        <v>0.0</v>
      </c>
      <c r="Q659" s="94">
        <v>6892.0</v>
      </c>
      <c r="R659" s="94">
        <v>2342.0</v>
      </c>
      <c r="S659" s="95" t="s">
        <v>103</v>
      </c>
      <c r="T659" s="94">
        <v>1.0</v>
      </c>
      <c r="U659" s="96">
        <v>36595.0</v>
      </c>
      <c r="V659" s="97" t="s">
        <v>4564</v>
      </c>
      <c r="W659" s="97" t="s">
        <v>4565</v>
      </c>
      <c r="X659" s="79" t="s">
        <v>4566</v>
      </c>
      <c r="Y659" s="88"/>
      <c r="Z659" s="88"/>
      <c r="AA659" s="88"/>
      <c r="AB659" s="88"/>
      <c r="AC659" s="88"/>
      <c r="AD659" s="88"/>
      <c r="AE659" s="88"/>
      <c r="AF659" s="88"/>
      <c r="AG659" s="88"/>
      <c r="AH659" s="88"/>
      <c r="AI659" s="88"/>
      <c r="AJ659" s="88"/>
      <c r="AK659" s="88"/>
      <c r="AL659" s="88"/>
      <c r="AM659" s="88"/>
      <c r="AN659" s="88"/>
      <c r="AO659" s="88"/>
      <c r="AP659" s="88"/>
      <c r="AQ659" s="88"/>
      <c r="AR659" s="88"/>
    </row>
    <row r="660" ht="19.5" customHeight="1">
      <c r="A660" s="79">
        <v>649.0</v>
      </c>
      <c r="B660" s="80" t="s">
        <v>36</v>
      </c>
      <c r="C660" s="80" t="s">
        <v>4559</v>
      </c>
      <c r="D660" s="80" t="s">
        <v>4570</v>
      </c>
      <c r="E660" s="81" t="s">
        <v>4571</v>
      </c>
      <c r="F660" s="80" t="s">
        <v>81</v>
      </c>
      <c r="G660" s="80" t="s">
        <v>42</v>
      </c>
      <c r="H660" s="80" t="s">
        <v>21</v>
      </c>
      <c r="I660" s="80" t="s">
        <v>4562</v>
      </c>
      <c r="J660" s="80" t="s">
        <v>43</v>
      </c>
      <c r="K660" s="80" t="s">
        <v>4559</v>
      </c>
      <c r="L660" s="92" t="s">
        <v>4572</v>
      </c>
      <c r="M660" s="83">
        <f t="shared" si="1"/>
        <v>468</v>
      </c>
      <c r="N660" s="84">
        <v>468.0</v>
      </c>
      <c r="O660" s="84">
        <v>0.0</v>
      </c>
      <c r="P660" s="84">
        <v>0.0</v>
      </c>
      <c r="Q660" s="94">
        <v>2678.0</v>
      </c>
      <c r="R660" s="94">
        <v>2789.0</v>
      </c>
      <c r="S660" s="95" t="s">
        <v>380</v>
      </c>
      <c r="T660" s="94">
        <v>1.0</v>
      </c>
      <c r="U660" s="96">
        <v>38157.0</v>
      </c>
      <c r="V660" s="97" t="s">
        <v>4573</v>
      </c>
      <c r="W660" s="97" t="s">
        <v>4574</v>
      </c>
      <c r="X660" s="79" t="s">
        <v>4575</v>
      </c>
      <c r="Y660" s="88"/>
      <c r="Z660" s="88"/>
      <c r="AA660" s="88"/>
      <c r="AB660" s="88"/>
      <c r="AC660" s="88"/>
      <c r="AD660" s="88"/>
      <c r="AE660" s="88"/>
      <c r="AF660" s="88"/>
      <c r="AG660" s="88"/>
      <c r="AH660" s="88"/>
      <c r="AI660" s="88"/>
      <c r="AJ660" s="88"/>
      <c r="AK660" s="88"/>
      <c r="AL660" s="88"/>
      <c r="AM660" s="88"/>
      <c r="AN660" s="88"/>
      <c r="AO660" s="88"/>
      <c r="AP660" s="88"/>
      <c r="AQ660" s="88"/>
      <c r="AR660" s="88"/>
    </row>
    <row r="661" ht="19.5" customHeight="1">
      <c r="A661" s="79">
        <v>650.0</v>
      </c>
      <c r="B661" s="80" t="s">
        <v>36</v>
      </c>
      <c r="C661" s="80" t="s">
        <v>4559</v>
      </c>
      <c r="D661" s="80" t="s">
        <v>4576</v>
      </c>
      <c r="E661" s="81" t="s">
        <v>4577</v>
      </c>
      <c r="F661" s="80" t="s">
        <v>81</v>
      </c>
      <c r="G661" s="80" t="s">
        <v>12</v>
      </c>
      <c r="H661" s="80" t="s">
        <v>21</v>
      </c>
      <c r="I661" s="80" t="s">
        <v>4562</v>
      </c>
      <c r="J661" s="80" t="s">
        <v>43</v>
      </c>
      <c r="K661" s="80" t="s">
        <v>4559</v>
      </c>
      <c r="L661" s="92" t="s">
        <v>4578</v>
      </c>
      <c r="M661" s="83">
        <f t="shared" si="1"/>
        <v>150</v>
      </c>
      <c r="N661" s="84">
        <v>0.0</v>
      </c>
      <c r="O661" s="84">
        <v>150.0</v>
      </c>
      <c r="P661" s="84">
        <v>0.0</v>
      </c>
      <c r="Q661" s="94">
        <v>9684.0</v>
      </c>
      <c r="R661" s="94">
        <v>1820.0</v>
      </c>
      <c r="S661" s="95" t="s">
        <v>350</v>
      </c>
      <c r="T661" s="94">
        <v>6.0</v>
      </c>
      <c r="U661" s="96">
        <v>41394.0</v>
      </c>
      <c r="V661" s="97" t="s">
        <v>4579</v>
      </c>
      <c r="W661" s="97" t="s">
        <v>4580</v>
      </c>
      <c r="X661" s="79" t="s">
        <v>4581</v>
      </c>
      <c r="Y661" s="88"/>
      <c r="Z661" s="88"/>
      <c r="AA661" s="88"/>
      <c r="AB661" s="88"/>
      <c r="AC661" s="88"/>
      <c r="AD661" s="88"/>
      <c r="AE661" s="88"/>
      <c r="AF661" s="88"/>
      <c r="AG661" s="88"/>
      <c r="AH661" s="88"/>
      <c r="AI661" s="88"/>
      <c r="AJ661" s="88"/>
      <c r="AK661" s="88"/>
      <c r="AL661" s="88"/>
      <c r="AM661" s="88"/>
      <c r="AN661" s="88"/>
      <c r="AO661" s="88"/>
      <c r="AP661" s="88"/>
      <c r="AQ661" s="88"/>
      <c r="AR661" s="88"/>
    </row>
    <row r="662" ht="19.5" customHeight="1">
      <c r="A662" s="79">
        <v>651.0</v>
      </c>
      <c r="B662" s="80" t="s">
        <v>36</v>
      </c>
      <c r="C662" s="80" t="s">
        <v>4559</v>
      </c>
      <c r="D662" s="80" t="s">
        <v>4582</v>
      </c>
      <c r="E662" s="81" t="s">
        <v>4583</v>
      </c>
      <c r="F662" s="80" t="s">
        <v>81</v>
      </c>
      <c r="G662" s="80" t="s">
        <v>44</v>
      </c>
      <c r="H662" s="80" t="s">
        <v>21</v>
      </c>
      <c r="I662" s="80" t="s">
        <v>4562</v>
      </c>
      <c r="J662" s="80" t="s">
        <v>43</v>
      </c>
      <c r="K662" s="80" t="s">
        <v>4559</v>
      </c>
      <c r="L662" s="92" t="s">
        <v>4584</v>
      </c>
      <c r="M662" s="83">
        <f t="shared" si="1"/>
        <v>200</v>
      </c>
      <c r="N662" s="84">
        <v>200.0</v>
      </c>
      <c r="O662" s="84">
        <v>0.0</v>
      </c>
      <c r="P662" s="84">
        <v>0.0</v>
      </c>
      <c r="Q662" s="94">
        <v>3263.0</v>
      </c>
      <c r="R662" s="94">
        <v>1788.84</v>
      </c>
      <c r="S662" s="95" t="s">
        <v>314</v>
      </c>
      <c r="T662" s="94">
        <v>1.0</v>
      </c>
      <c r="U662" s="96">
        <v>43248.0</v>
      </c>
      <c r="V662" s="97" t="s">
        <v>4585</v>
      </c>
      <c r="W662" s="97" t="s">
        <v>4586</v>
      </c>
      <c r="X662" s="79" t="s">
        <v>4587</v>
      </c>
      <c r="Y662" s="88"/>
      <c r="Z662" s="88"/>
      <c r="AA662" s="88"/>
      <c r="AB662" s="88"/>
      <c r="AC662" s="88"/>
      <c r="AD662" s="88"/>
      <c r="AE662" s="88"/>
      <c r="AF662" s="88"/>
      <c r="AG662" s="88"/>
      <c r="AH662" s="88"/>
      <c r="AI662" s="88"/>
      <c r="AJ662" s="88"/>
      <c r="AK662" s="88"/>
      <c r="AL662" s="88"/>
      <c r="AM662" s="88"/>
      <c r="AN662" s="88"/>
      <c r="AO662" s="88"/>
      <c r="AP662" s="88"/>
      <c r="AQ662" s="88"/>
      <c r="AR662" s="88"/>
    </row>
    <row r="663" ht="19.5" customHeight="1">
      <c r="A663" s="79">
        <v>652.0</v>
      </c>
      <c r="B663" s="95" t="s">
        <v>36</v>
      </c>
      <c r="C663" s="95" t="s">
        <v>4588</v>
      </c>
      <c r="D663" s="95" t="s">
        <v>4589</v>
      </c>
      <c r="E663" s="100" t="s">
        <v>4590</v>
      </c>
      <c r="F663" s="95" t="s">
        <v>687</v>
      </c>
      <c r="G663" s="80" t="s">
        <v>46</v>
      </c>
      <c r="H663" s="80" t="s">
        <v>21</v>
      </c>
      <c r="I663" s="95" t="s">
        <v>4591</v>
      </c>
      <c r="J663" s="80" t="s">
        <v>45</v>
      </c>
      <c r="K663" s="80" t="s">
        <v>4590</v>
      </c>
      <c r="L663" s="92" t="s">
        <v>4592</v>
      </c>
      <c r="M663" s="83">
        <f t="shared" si="1"/>
        <v>321</v>
      </c>
      <c r="N663" s="84"/>
      <c r="O663" s="84">
        <v>321.0</v>
      </c>
      <c r="P663" s="84"/>
      <c r="Q663" s="94">
        <v>6189.0</v>
      </c>
      <c r="R663" s="94">
        <v>4272.28</v>
      </c>
      <c r="S663" s="95" t="s">
        <v>194</v>
      </c>
      <c r="T663" s="94">
        <v>2.0</v>
      </c>
      <c r="U663" s="96">
        <v>38450.0</v>
      </c>
      <c r="V663" s="97" t="s">
        <v>4593</v>
      </c>
      <c r="W663" s="97" t="s">
        <v>4594</v>
      </c>
      <c r="X663" s="79" t="s">
        <v>4595</v>
      </c>
      <c r="Y663" s="88"/>
      <c r="Z663" s="88"/>
      <c r="AA663" s="88"/>
      <c r="AB663" s="88"/>
      <c r="AC663" s="88"/>
      <c r="AD663" s="88"/>
      <c r="AE663" s="88"/>
      <c r="AF663" s="88"/>
      <c r="AG663" s="88"/>
      <c r="AH663" s="88"/>
      <c r="AI663" s="88"/>
      <c r="AJ663" s="88"/>
      <c r="AK663" s="88"/>
      <c r="AL663" s="88"/>
      <c r="AM663" s="88"/>
      <c r="AN663" s="88"/>
      <c r="AO663" s="88"/>
      <c r="AP663" s="88"/>
      <c r="AQ663" s="88"/>
      <c r="AR663" s="88"/>
    </row>
    <row r="664" ht="19.5" customHeight="1">
      <c r="A664" s="79">
        <v>653.0</v>
      </c>
      <c r="B664" s="95" t="s">
        <v>36</v>
      </c>
      <c r="C664" s="95" t="s">
        <v>4588</v>
      </c>
      <c r="D664" s="95" t="s">
        <v>4596</v>
      </c>
      <c r="E664" s="100" t="s">
        <v>4597</v>
      </c>
      <c r="F664" s="95" t="s">
        <v>687</v>
      </c>
      <c r="G664" s="80" t="s">
        <v>12</v>
      </c>
      <c r="H664" s="80" t="s">
        <v>21</v>
      </c>
      <c r="I664" s="95" t="s">
        <v>4591</v>
      </c>
      <c r="J664" s="80" t="s">
        <v>43</v>
      </c>
      <c r="K664" s="80" t="s">
        <v>4591</v>
      </c>
      <c r="L664" s="92" t="s">
        <v>4598</v>
      </c>
      <c r="M664" s="83">
        <f t="shared" si="1"/>
        <v>48</v>
      </c>
      <c r="N664" s="84"/>
      <c r="O664" s="84">
        <v>48.0</v>
      </c>
      <c r="P664" s="84"/>
      <c r="Q664" s="94">
        <v>7491.0</v>
      </c>
      <c r="R664" s="94">
        <v>1682.27</v>
      </c>
      <c r="S664" s="95" t="s">
        <v>291</v>
      </c>
      <c r="T664" s="94">
        <v>1.0</v>
      </c>
      <c r="U664" s="96">
        <v>43620.0</v>
      </c>
      <c r="V664" s="97" t="s">
        <v>4599</v>
      </c>
      <c r="W664" s="97" t="s">
        <v>4600</v>
      </c>
      <c r="X664" s="79" t="s">
        <v>4601</v>
      </c>
      <c r="Y664" s="88"/>
      <c r="Z664" s="88"/>
      <c r="AA664" s="88"/>
      <c r="AB664" s="88"/>
      <c r="AC664" s="88"/>
      <c r="AD664" s="88"/>
      <c r="AE664" s="88"/>
      <c r="AF664" s="88"/>
      <c r="AG664" s="88"/>
      <c r="AH664" s="88"/>
      <c r="AI664" s="88"/>
      <c r="AJ664" s="88"/>
      <c r="AK664" s="88"/>
      <c r="AL664" s="88"/>
      <c r="AM664" s="88"/>
      <c r="AN664" s="88"/>
      <c r="AO664" s="88"/>
      <c r="AP664" s="88"/>
      <c r="AQ664" s="88"/>
      <c r="AR664" s="88"/>
    </row>
    <row r="665" ht="19.5" customHeight="1">
      <c r="A665" s="79">
        <v>654.0</v>
      </c>
      <c r="B665" s="80" t="s">
        <v>36</v>
      </c>
      <c r="C665" s="80" t="s">
        <v>4602</v>
      </c>
      <c r="D665" s="80" t="s">
        <v>1251</v>
      </c>
      <c r="E665" s="81" t="s">
        <v>4603</v>
      </c>
      <c r="F665" s="80" t="s">
        <v>81</v>
      </c>
      <c r="G665" s="80" t="s">
        <v>42</v>
      </c>
      <c r="H665" s="80" t="s">
        <v>21</v>
      </c>
      <c r="I665" s="80" t="s">
        <v>4604</v>
      </c>
      <c r="J665" s="80" t="s">
        <v>45</v>
      </c>
      <c r="K665" s="80" t="s">
        <v>4605</v>
      </c>
      <c r="L665" s="92" t="s">
        <v>4606</v>
      </c>
      <c r="M665" s="83">
        <f t="shared" si="1"/>
        <v>450</v>
      </c>
      <c r="N665" s="84">
        <v>450.0</v>
      </c>
      <c r="O665" s="84"/>
      <c r="P665" s="84"/>
      <c r="Q665" s="94">
        <v>3130.9</v>
      </c>
      <c r="R665" s="94">
        <v>3113.75</v>
      </c>
      <c r="S665" s="95" t="s">
        <v>103</v>
      </c>
      <c r="T665" s="94">
        <v>1.0</v>
      </c>
      <c r="U665" s="96">
        <v>37123.0</v>
      </c>
      <c r="V665" s="97" t="s">
        <v>4607</v>
      </c>
      <c r="W665" s="97" t="s">
        <v>4608</v>
      </c>
      <c r="X665" s="79" t="s">
        <v>4609</v>
      </c>
      <c r="Y665" s="88"/>
      <c r="Z665" s="88"/>
      <c r="AA665" s="88"/>
      <c r="AB665" s="88"/>
      <c r="AC665" s="88"/>
      <c r="AD665" s="88"/>
      <c r="AE665" s="88"/>
      <c r="AF665" s="88"/>
      <c r="AG665" s="88"/>
      <c r="AH665" s="88"/>
      <c r="AI665" s="88"/>
      <c r="AJ665" s="88"/>
      <c r="AK665" s="88"/>
      <c r="AL665" s="88"/>
      <c r="AM665" s="88"/>
      <c r="AN665" s="88"/>
      <c r="AO665" s="88"/>
      <c r="AP665" s="88"/>
      <c r="AQ665" s="88"/>
      <c r="AR665" s="88"/>
    </row>
    <row r="666" ht="19.5" customHeight="1">
      <c r="A666" s="79">
        <v>655.0</v>
      </c>
      <c r="B666" s="80" t="s">
        <v>36</v>
      </c>
      <c r="C666" s="80" t="s">
        <v>4602</v>
      </c>
      <c r="D666" s="80" t="s">
        <v>4610</v>
      </c>
      <c r="E666" s="81" t="s">
        <v>4611</v>
      </c>
      <c r="F666" s="80" t="s">
        <v>81</v>
      </c>
      <c r="G666" s="80" t="s">
        <v>44</v>
      </c>
      <c r="H666" s="80" t="s">
        <v>21</v>
      </c>
      <c r="I666" s="80" t="s">
        <v>4604</v>
      </c>
      <c r="J666" s="80" t="s">
        <v>45</v>
      </c>
      <c r="K666" s="80" t="s">
        <v>4612</v>
      </c>
      <c r="L666" s="92" t="s">
        <v>4613</v>
      </c>
      <c r="M666" s="83">
        <f t="shared" si="1"/>
        <v>60</v>
      </c>
      <c r="N666" s="84">
        <v>60.0</v>
      </c>
      <c r="O666" s="84"/>
      <c r="P666" s="84"/>
      <c r="Q666" s="94">
        <v>869.2</v>
      </c>
      <c r="R666" s="94">
        <v>672.79</v>
      </c>
      <c r="S666" s="95" t="s">
        <v>314</v>
      </c>
      <c r="T666" s="94">
        <v>1.0</v>
      </c>
      <c r="U666" s="96">
        <v>38048.0</v>
      </c>
      <c r="V666" s="97" t="s">
        <v>4614</v>
      </c>
      <c r="W666" s="97" t="s">
        <v>4615</v>
      </c>
      <c r="X666" s="79" t="s">
        <v>4616</v>
      </c>
      <c r="Y666" s="88"/>
      <c r="Z666" s="88"/>
      <c r="AA666" s="88"/>
      <c r="AB666" s="88"/>
      <c r="AC666" s="88"/>
      <c r="AD666" s="88"/>
      <c r="AE666" s="88"/>
      <c r="AF666" s="88"/>
      <c r="AG666" s="88"/>
      <c r="AH666" s="88"/>
      <c r="AI666" s="88"/>
      <c r="AJ666" s="88"/>
      <c r="AK666" s="88"/>
      <c r="AL666" s="88"/>
      <c r="AM666" s="88"/>
      <c r="AN666" s="88"/>
      <c r="AO666" s="88"/>
      <c r="AP666" s="88"/>
      <c r="AQ666" s="88"/>
      <c r="AR666" s="88"/>
    </row>
    <row r="667" ht="19.5" customHeight="1">
      <c r="A667" s="79">
        <v>656.0</v>
      </c>
      <c r="B667" s="80" t="s">
        <v>36</v>
      </c>
      <c r="C667" s="80" t="s">
        <v>4602</v>
      </c>
      <c r="D667" s="80" t="s">
        <v>4617</v>
      </c>
      <c r="E667" s="81" t="s">
        <v>4618</v>
      </c>
      <c r="F667" s="80" t="s">
        <v>81</v>
      </c>
      <c r="G667" s="80" t="s">
        <v>44</v>
      </c>
      <c r="H667" s="80" t="s">
        <v>21</v>
      </c>
      <c r="I667" s="80" t="s">
        <v>4604</v>
      </c>
      <c r="J667" s="80" t="s">
        <v>45</v>
      </c>
      <c r="K667" s="80" t="s">
        <v>4605</v>
      </c>
      <c r="L667" s="92" t="s">
        <v>4619</v>
      </c>
      <c r="M667" s="83">
        <f t="shared" si="1"/>
        <v>70</v>
      </c>
      <c r="N667" s="84">
        <v>70.0</v>
      </c>
      <c r="O667" s="84"/>
      <c r="P667" s="84"/>
      <c r="Q667" s="94">
        <v>798.8</v>
      </c>
      <c r="R667" s="94">
        <v>779.95</v>
      </c>
      <c r="S667" s="95" t="s">
        <v>314</v>
      </c>
      <c r="T667" s="94">
        <v>1.0</v>
      </c>
      <c r="U667" s="96">
        <v>42706.0</v>
      </c>
      <c r="V667" s="97" t="s">
        <v>4620</v>
      </c>
      <c r="W667" s="97" t="s">
        <v>4621</v>
      </c>
      <c r="X667" s="79" t="s">
        <v>4622</v>
      </c>
      <c r="Y667" s="88"/>
      <c r="Z667" s="88"/>
      <c r="AA667" s="88"/>
      <c r="AB667" s="88"/>
      <c r="AC667" s="88"/>
      <c r="AD667" s="88"/>
      <c r="AE667" s="88"/>
      <c r="AF667" s="88"/>
      <c r="AG667" s="88"/>
      <c r="AH667" s="88"/>
      <c r="AI667" s="88"/>
      <c r="AJ667" s="88"/>
      <c r="AK667" s="88"/>
      <c r="AL667" s="88"/>
      <c r="AM667" s="88"/>
      <c r="AN667" s="88"/>
      <c r="AO667" s="88"/>
      <c r="AP667" s="88"/>
      <c r="AQ667" s="88"/>
      <c r="AR667" s="88"/>
    </row>
    <row r="668" ht="19.5" customHeight="1">
      <c r="A668" s="79">
        <v>657.0</v>
      </c>
      <c r="B668" s="80" t="s">
        <v>36</v>
      </c>
      <c r="C668" s="80" t="s">
        <v>4602</v>
      </c>
      <c r="D668" s="80" t="s">
        <v>4623</v>
      </c>
      <c r="E668" s="81" t="s">
        <v>4624</v>
      </c>
      <c r="F668" s="80" t="s">
        <v>22</v>
      </c>
      <c r="G668" s="80" t="s">
        <v>12</v>
      </c>
      <c r="H668" s="80" t="s">
        <v>22</v>
      </c>
      <c r="I668" s="80" t="s">
        <v>4625</v>
      </c>
      <c r="J668" s="80" t="s">
        <v>43</v>
      </c>
      <c r="K668" s="80" t="s">
        <v>4626</v>
      </c>
      <c r="L668" s="92" t="s">
        <v>4627</v>
      </c>
      <c r="M668" s="83">
        <f t="shared" si="1"/>
        <v>180</v>
      </c>
      <c r="N668" s="84"/>
      <c r="O668" s="84">
        <v>180.0</v>
      </c>
      <c r="P668" s="84"/>
      <c r="Q668" s="94">
        <v>1942.0</v>
      </c>
      <c r="R668" s="94">
        <v>1126.08</v>
      </c>
      <c r="S668" s="95" t="s">
        <v>314</v>
      </c>
      <c r="T668" s="94">
        <v>2.0</v>
      </c>
      <c r="U668" s="96">
        <v>42753.0</v>
      </c>
      <c r="V668" s="97" t="s">
        <v>4628</v>
      </c>
      <c r="W668" s="97" t="s">
        <v>602</v>
      </c>
      <c r="X668" s="79" t="s">
        <v>4629</v>
      </c>
      <c r="Y668" s="88"/>
      <c r="Z668" s="88"/>
      <c r="AA668" s="88"/>
      <c r="AB668" s="88"/>
      <c r="AC668" s="88"/>
      <c r="AD668" s="88"/>
      <c r="AE668" s="88"/>
      <c r="AF668" s="88"/>
      <c r="AG668" s="88"/>
      <c r="AH668" s="88"/>
      <c r="AI668" s="88"/>
      <c r="AJ668" s="88"/>
      <c r="AK668" s="88"/>
      <c r="AL668" s="88"/>
      <c r="AM668" s="88"/>
      <c r="AN668" s="88"/>
      <c r="AO668" s="88"/>
      <c r="AP668" s="88"/>
      <c r="AQ668" s="88"/>
      <c r="AR668" s="88"/>
    </row>
    <row r="669" ht="19.5" customHeight="1">
      <c r="A669" s="79">
        <v>658.0</v>
      </c>
      <c r="B669" s="95" t="s">
        <v>36</v>
      </c>
      <c r="C669" s="95" t="s">
        <v>4602</v>
      </c>
      <c r="D669" s="95" t="s">
        <v>4630</v>
      </c>
      <c r="E669" s="100" t="s">
        <v>4631</v>
      </c>
      <c r="F669" s="95" t="s">
        <v>22</v>
      </c>
      <c r="G669" s="80" t="s">
        <v>46</v>
      </c>
      <c r="H669" s="80" t="s">
        <v>22</v>
      </c>
      <c r="I669" s="95" t="s">
        <v>4632</v>
      </c>
      <c r="J669" s="80" t="s">
        <v>43</v>
      </c>
      <c r="K669" s="80" t="s">
        <v>4633</v>
      </c>
      <c r="L669" s="100" t="s">
        <v>4634</v>
      </c>
      <c r="M669" s="83">
        <f t="shared" si="1"/>
        <v>262</v>
      </c>
      <c r="N669" s="84"/>
      <c r="O669" s="84">
        <v>262.0</v>
      </c>
      <c r="P669" s="84"/>
      <c r="Q669" s="94">
        <v>34714.0</v>
      </c>
      <c r="R669" s="94">
        <v>5622.04</v>
      </c>
      <c r="S669" s="95" t="s">
        <v>194</v>
      </c>
      <c r="T669" s="94">
        <v>4.0</v>
      </c>
      <c r="U669" s="96">
        <v>44420.0</v>
      </c>
      <c r="V669" s="97" t="s">
        <v>4635</v>
      </c>
      <c r="W669" s="97" t="s">
        <v>4636</v>
      </c>
      <c r="X669" s="79" t="s">
        <v>4637</v>
      </c>
      <c r="Y669" s="88"/>
      <c r="Z669" s="88"/>
      <c r="AA669" s="88"/>
      <c r="AB669" s="88"/>
      <c r="AC669" s="88"/>
      <c r="AD669" s="88"/>
      <c r="AE669" s="88"/>
      <c r="AF669" s="88"/>
      <c r="AG669" s="88"/>
      <c r="AH669" s="88"/>
      <c r="AI669" s="88"/>
      <c r="AJ669" s="88"/>
      <c r="AK669" s="88"/>
      <c r="AL669" s="88"/>
      <c r="AM669" s="88"/>
      <c r="AN669" s="88"/>
      <c r="AO669" s="88"/>
      <c r="AP669" s="88"/>
      <c r="AQ669" s="88"/>
      <c r="AR669" s="88"/>
    </row>
    <row r="670" ht="19.5" customHeight="1">
      <c r="A670" s="79">
        <v>659.0</v>
      </c>
      <c r="B670" s="95" t="s">
        <v>36</v>
      </c>
      <c r="C670" s="95" t="s">
        <v>4638</v>
      </c>
      <c r="D670" s="95" t="s">
        <v>4639</v>
      </c>
      <c r="E670" s="100" t="s">
        <v>4640</v>
      </c>
      <c r="F670" s="95" t="s">
        <v>687</v>
      </c>
      <c r="G670" s="80" t="s">
        <v>44</v>
      </c>
      <c r="H670" s="80" t="s">
        <v>21</v>
      </c>
      <c r="I670" s="95" t="s">
        <v>4641</v>
      </c>
      <c r="J670" s="80" t="s">
        <v>43</v>
      </c>
      <c r="K670" s="80" t="s">
        <v>4638</v>
      </c>
      <c r="L670" s="92" t="s">
        <v>4642</v>
      </c>
      <c r="M670" s="83">
        <f t="shared" si="1"/>
        <v>150</v>
      </c>
      <c r="N670" s="84">
        <v>150.0</v>
      </c>
      <c r="O670" s="84"/>
      <c r="P670" s="84"/>
      <c r="Q670" s="94">
        <v>3117.0</v>
      </c>
      <c r="R670" s="94">
        <v>1687.0</v>
      </c>
      <c r="S670" s="95" t="s">
        <v>314</v>
      </c>
      <c r="T670" s="94">
        <v>1.0</v>
      </c>
      <c r="U670" s="96">
        <v>41486.0</v>
      </c>
      <c r="V670" s="97" t="s">
        <v>4643</v>
      </c>
      <c r="W670" s="97" t="s">
        <v>4644</v>
      </c>
      <c r="X670" s="79"/>
      <c r="Y670" s="88"/>
      <c r="Z670" s="88"/>
      <c r="AA670" s="88"/>
      <c r="AB670" s="88"/>
      <c r="AC670" s="88"/>
      <c r="AD670" s="88"/>
      <c r="AE670" s="88"/>
      <c r="AF670" s="88"/>
      <c r="AG670" s="88"/>
      <c r="AH670" s="88"/>
      <c r="AI670" s="88"/>
      <c r="AJ670" s="88"/>
      <c r="AK670" s="88"/>
      <c r="AL670" s="88"/>
      <c r="AM670" s="88"/>
      <c r="AN670" s="88"/>
      <c r="AO670" s="88"/>
      <c r="AP670" s="88"/>
      <c r="AQ670" s="88"/>
      <c r="AR670" s="88"/>
    </row>
    <row r="671" ht="19.5" customHeight="1">
      <c r="A671" s="79">
        <v>660.0</v>
      </c>
      <c r="B671" s="80" t="s">
        <v>36</v>
      </c>
      <c r="C671" s="80" t="s">
        <v>4645</v>
      </c>
      <c r="D671" s="80" t="s">
        <v>4646</v>
      </c>
      <c r="E671" s="81" t="s">
        <v>4647</v>
      </c>
      <c r="F671" s="80" t="s">
        <v>687</v>
      </c>
      <c r="G671" s="80" t="s">
        <v>42</v>
      </c>
      <c r="H671" s="80" t="s">
        <v>21</v>
      </c>
      <c r="I671" s="80" t="s">
        <v>4648</v>
      </c>
      <c r="J671" s="80" t="s">
        <v>43</v>
      </c>
      <c r="K671" s="80" t="s">
        <v>4645</v>
      </c>
      <c r="L671" s="92" t="s">
        <v>4649</v>
      </c>
      <c r="M671" s="83">
        <f t="shared" si="1"/>
        <v>460</v>
      </c>
      <c r="N671" s="84">
        <v>460.0</v>
      </c>
      <c r="O671" s="84"/>
      <c r="P671" s="84"/>
      <c r="Q671" s="94">
        <v>5343.0</v>
      </c>
      <c r="R671" s="94">
        <v>2880.0</v>
      </c>
      <c r="S671" s="95" t="s">
        <v>291</v>
      </c>
      <c r="T671" s="94">
        <v>1.0</v>
      </c>
      <c r="U671" s="96">
        <v>40441.0</v>
      </c>
      <c r="V671" s="97" t="s">
        <v>4650</v>
      </c>
      <c r="W671" s="97" t="s">
        <v>4651</v>
      </c>
      <c r="X671" s="79" t="s">
        <v>4652</v>
      </c>
      <c r="Y671" s="98"/>
      <c r="Z671" s="98"/>
      <c r="AA671" s="98"/>
      <c r="AB671" s="98"/>
      <c r="AC671" s="98"/>
      <c r="AD671" s="98"/>
      <c r="AE671" s="98"/>
      <c r="AF671" s="98"/>
      <c r="AG671" s="98"/>
      <c r="AH671" s="98"/>
      <c r="AI671" s="98"/>
      <c r="AJ671" s="98"/>
      <c r="AK671" s="98"/>
      <c r="AL671" s="98"/>
      <c r="AM671" s="98"/>
      <c r="AN671" s="98"/>
      <c r="AO671" s="98"/>
      <c r="AP671" s="98"/>
      <c r="AQ671" s="98"/>
      <c r="AR671" s="98"/>
    </row>
    <row r="672" ht="19.5" customHeight="1">
      <c r="A672" s="79">
        <v>661.0</v>
      </c>
      <c r="B672" s="95" t="s">
        <v>36</v>
      </c>
      <c r="C672" s="95" t="s">
        <v>4645</v>
      </c>
      <c r="D672" s="95" t="s">
        <v>4653</v>
      </c>
      <c r="E672" s="100" t="s">
        <v>4654</v>
      </c>
      <c r="F672" s="95" t="s">
        <v>687</v>
      </c>
      <c r="G672" s="80" t="s">
        <v>44</v>
      </c>
      <c r="H672" s="80" t="s">
        <v>21</v>
      </c>
      <c r="I672" s="95" t="s">
        <v>4648</v>
      </c>
      <c r="J672" s="80" t="s">
        <v>43</v>
      </c>
      <c r="K672" s="80" t="s">
        <v>4645</v>
      </c>
      <c r="L672" s="92" t="s">
        <v>4655</v>
      </c>
      <c r="M672" s="83">
        <f t="shared" si="1"/>
        <v>136</v>
      </c>
      <c r="N672" s="84">
        <v>136.0</v>
      </c>
      <c r="O672" s="84"/>
      <c r="P672" s="84"/>
      <c r="Q672" s="94">
        <v>2278.0</v>
      </c>
      <c r="R672" s="94">
        <v>877.0</v>
      </c>
      <c r="S672" s="95" t="s">
        <v>350</v>
      </c>
      <c r="T672" s="94">
        <v>1.0</v>
      </c>
      <c r="U672" s="96">
        <v>42475.0</v>
      </c>
      <c r="V672" s="97" t="s">
        <v>4656</v>
      </c>
      <c r="W672" s="97" t="s">
        <v>4657</v>
      </c>
      <c r="X672" s="79" t="s">
        <v>4658</v>
      </c>
      <c r="Y672" s="98"/>
      <c r="Z672" s="98"/>
      <c r="AA672" s="98"/>
      <c r="AB672" s="98"/>
      <c r="AC672" s="98"/>
      <c r="AD672" s="98"/>
      <c r="AE672" s="98"/>
      <c r="AF672" s="98"/>
      <c r="AG672" s="98"/>
      <c r="AH672" s="98"/>
      <c r="AI672" s="98"/>
      <c r="AJ672" s="98"/>
      <c r="AK672" s="98"/>
      <c r="AL672" s="98"/>
      <c r="AM672" s="98"/>
      <c r="AN672" s="98"/>
      <c r="AO672" s="98"/>
      <c r="AP672" s="98"/>
      <c r="AQ672" s="98"/>
      <c r="AR672" s="98"/>
    </row>
    <row r="673" ht="19.5" customHeight="1">
      <c r="A673" s="79">
        <v>662.0</v>
      </c>
      <c r="B673" s="80" t="s">
        <v>36</v>
      </c>
      <c r="C673" s="80" t="s">
        <v>4659</v>
      </c>
      <c r="D673" s="80" t="s">
        <v>4660</v>
      </c>
      <c r="E673" s="92" t="s">
        <v>4661</v>
      </c>
      <c r="F673" s="91" t="s">
        <v>1807</v>
      </c>
      <c r="G673" s="80" t="s">
        <v>46</v>
      </c>
      <c r="H673" s="80" t="s">
        <v>21</v>
      </c>
      <c r="I673" s="91" t="s">
        <v>4662</v>
      </c>
      <c r="J673" s="80" t="s">
        <v>45</v>
      </c>
      <c r="K673" s="91" t="s">
        <v>4663</v>
      </c>
      <c r="L673" s="92" t="s">
        <v>4664</v>
      </c>
      <c r="M673" s="83">
        <f t="shared" si="1"/>
        <v>490</v>
      </c>
      <c r="N673" s="84"/>
      <c r="O673" s="84">
        <v>490.0</v>
      </c>
      <c r="P673" s="84"/>
      <c r="Q673" s="94">
        <v>28720.0</v>
      </c>
      <c r="R673" s="94">
        <v>7973.0</v>
      </c>
      <c r="S673" s="95" t="s">
        <v>194</v>
      </c>
      <c r="T673" s="94">
        <v>4.0</v>
      </c>
      <c r="U673" s="96">
        <v>35865.0</v>
      </c>
      <c r="V673" s="97" t="s">
        <v>4665</v>
      </c>
      <c r="W673" s="97" t="s">
        <v>4666</v>
      </c>
      <c r="X673" s="79" t="s">
        <v>4667</v>
      </c>
      <c r="Y673" s="88"/>
      <c r="Z673" s="88"/>
      <c r="AA673" s="88"/>
      <c r="AB673" s="88"/>
      <c r="AC673" s="88"/>
      <c r="AD673" s="88"/>
      <c r="AE673" s="88"/>
      <c r="AF673" s="88"/>
      <c r="AG673" s="88"/>
      <c r="AH673" s="88"/>
      <c r="AI673" s="88"/>
      <c r="AJ673" s="88"/>
      <c r="AK673" s="88"/>
      <c r="AL673" s="88"/>
      <c r="AM673" s="88"/>
      <c r="AN673" s="88"/>
      <c r="AO673" s="88"/>
      <c r="AP673" s="88"/>
      <c r="AQ673" s="88"/>
      <c r="AR673" s="88"/>
    </row>
    <row r="674" ht="19.5" customHeight="1">
      <c r="A674" s="79">
        <v>663.0</v>
      </c>
      <c r="B674" s="95" t="s">
        <v>36</v>
      </c>
      <c r="C674" s="95" t="s">
        <v>4659</v>
      </c>
      <c r="D674" s="95" t="s">
        <v>4660</v>
      </c>
      <c r="E674" s="100" t="s">
        <v>4668</v>
      </c>
      <c r="F674" s="95" t="s">
        <v>22</v>
      </c>
      <c r="G674" s="80" t="s">
        <v>46</v>
      </c>
      <c r="H674" s="80" t="s">
        <v>22</v>
      </c>
      <c r="I674" s="95" t="s">
        <v>760</v>
      </c>
      <c r="J674" s="80" t="s">
        <v>43</v>
      </c>
      <c r="K674" s="91" t="s">
        <v>760</v>
      </c>
      <c r="L674" s="92" t="s">
        <v>4669</v>
      </c>
      <c r="M674" s="83">
        <f t="shared" si="1"/>
        <v>250</v>
      </c>
      <c r="N674" s="84">
        <v>0.0</v>
      </c>
      <c r="O674" s="84">
        <v>250.0</v>
      </c>
      <c r="P674" s="84">
        <v>0.0</v>
      </c>
      <c r="Q674" s="94">
        <v>33057.0</v>
      </c>
      <c r="R674" s="94">
        <v>3393.0</v>
      </c>
      <c r="S674" s="95" t="s">
        <v>704</v>
      </c>
      <c r="T674" s="94">
        <v>22.0</v>
      </c>
      <c r="U674" s="96">
        <v>34453.0</v>
      </c>
      <c r="V674" s="97" t="s">
        <v>4670</v>
      </c>
      <c r="W674" s="97" t="s">
        <v>4671</v>
      </c>
      <c r="X674" s="79" t="s">
        <v>4672</v>
      </c>
      <c r="Y674" s="88"/>
      <c r="Z674" s="88"/>
      <c r="AA674" s="88"/>
      <c r="AB674" s="88"/>
      <c r="AC674" s="88"/>
      <c r="AD674" s="88"/>
      <c r="AE674" s="88"/>
      <c r="AF674" s="88"/>
      <c r="AG674" s="88"/>
      <c r="AH674" s="88"/>
      <c r="AI674" s="88"/>
      <c r="AJ674" s="88"/>
      <c r="AK674" s="88"/>
      <c r="AL674" s="88"/>
      <c r="AM674" s="88"/>
      <c r="AN674" s="88"/>
      <c r="AO674" s="88"/>
      <c r="AP674" s="88"/>
      <c r="AQ674" s="88"/>
      <c r="AR674" s="88"/>
    </row>
    <row r="675" ht="19.5" customHeight="1">
      <c r="A675" s="79">
        <v>664.0</v>
      </c>
      <c r="B675" s="80" t="s">
        <v>36</v>
      </c>
      <c r="C675" s="91" t="s">
        <v>4659</v>
      </c>
      <c r="D675" s="91" t="s">
        <v>4673</v>
      </c>
      <c r="E675" s="92" t="s">
        <v>4674</v>
      </c>
      <c r="F675" s="91" t="s">
        <v>687</v>
      </c>
      <c r="G675" s="80" t="s">
        <v>44</v>
      </c>
      <c r="H675" s="80" t="s">
        <v>21</v>
      </c>
      <c r="I675" s="91" t="s">
        <v>4675</v>
      </c>
      <c r="J675" s="80" t="s">
        <v>45</v>
      </c>
      <c r="K675" s="91" t="s">
        <v>4676</v>
      </c>
      <c r="L675" s="92" t="s">
        <v>4677</v>
      </c>
      <c r="M675" s="83">
        <f t="shared" si="1"/>
        <v>100</v>
      </c>
      <c r="N675" s="84">
        <v>100.0</v>
      </c>
      <c r="O675" s="84"/>
      <c r="P675" s="84"/>
      <c r="Q675" s="94">
        <v>1085.0</v>
      </c>
      <c r="R675" s="94">
        <v>1145.0</v>
      </c>
      <c r="S675" s="95" t="s">
        <v>314</v>
      </c>
      <c r="T675" s="94">
        <v>1.0</v>
      </c>
      <c r="U675" s="96">
        <v>39841.0</v>
      </c>
      <c r="V675" s="97" t="s">
        <v>4678</v>
      </c>
      <c r="W675" s="97" t="s">
        <v>4679</v>
      </c>
      <c r="X675" s="79" t="s">
        <v>4680</v>
      </c>
      <c r="Y675" s="88"/>
      <c r="Z675" s="88"/>
      <c r="AA675" s="88"/>
      <c r="AB675" s="88"/>
      <c r="AC675" s="88"/>
      <c r="AD675" s="88"/>
      <c r="AE675" s="88"/>
      <c r="AF675" s="88"/>
      <c r="AG675" s="88"/>
      <c r="AH675" s="88"/>
      <c r="AI675" s="88"/>
      <c r="AJ675" s="88"/>
      <c r="AK675" s="88"/>
      <c r="AL675" s="88"/>
      <c r="AM675" s="88"/>
      <c r="AN675" s="88"/>
      <c r="AO675" s="88"/>
      <c r="AP675" s="88"/>
      <c r="AQ675" s="88"/>
      <c r="AR675" s="88"/>
    </row>
    <row r="676" ht="19.5" customHeight="1">
      <c r="A676" s="79">
        <v>665.0</v>
      </c>
      <c r="B676" s="80" t="s">
        <v>36</v>
      </c>
      <c r="C676" s="80" t="s">
        <v>4659</v>
      </c>
      <c r="D676" s="80" t="s">
        <v>4681</v>
      </c>
      <c r="E676" s="92" t="s">
        <v>4682</v>
      </c>
      <c r="F676" s="91" t="s">
        <v>687</v>
      </c>
      <c r="G676" s="80" t="s">
        <v>44</v>
      </c>
      <c r="H676" s="80" t="s">
        <v>21</v>
      </c>
      <c r="I676" s="91" t="s">
        <v>4675</v>
      </c>
      <c r="J676" s="80" t="s">
        <v>43</v>
      </c>
      <c r="K676" s="91" t="s">
        <v>4675</v>
      </c>
      <c r="L676" s="92" t="s">
        <v>4683</v>
      </c>
      <c r="M676" s="83">
        <f t="shared" si="1"/>
        <v>35</v>
      </c>
      <c r="N676" s="84">
        <v>35.0</v>
      </c>
      <c r="O676" s="84"/>
      <c r="P676" s="84"/>
      <c r="Q676" s="94">
        <v>833.0</v>
      </c>
      <c r="R676" s="94">
        <v>695.0</v>
      </c>
      <c r="S676" s="95" t="s">
        <v>350</v>
      </c>
      <c r="T676" s="94">
        <v>1.0</v>
      </c>
      <c r="U676" s="96">
        <v>41786.0</v>
      </c>
      <c r="V676" s="97" t="s">
        <v>4684</v>
      </c>
      <c r="W676" s="97" t="s">
        <v>4685</v>
      </c>
      <c r="X676" s="79"/>
      <c r="Y676" s="88"/>
      <c r="Z676" s="88"/>
      <c r="AA676" s="88"/>
      <c r="AB676" s="88"/>
      <c r="AC676" s="88"/>
      <c r="AD676" s="88"/>
      <c r="AE676" s="88"/>
      <c r="AF676" s="88"/>
      <c r="AG676" s="88"/>
      <c r="AH676" s="88"/>
      <c r="AI676" s="88"/>
      <c r="AJ676" s="88"/>
      <c r="AK676" s="88"/>
      <c r="AL676" s="88"/>
      <c r="AM676" s="88"/>
      <c r="AN676" s="88"/>
      <c r="AO676" s="88"/>
      <c r="AP676" s="88"/>
      <c r="AQ676" s="88"/>
      <c r="AR676" s="88"/>
    </row>
    <row r="677" ht="19.5" customHeight="1">
      <c r="A677" s="79">
        <v>666.0</v>
      </c>
      <c r="B677" s="80" t="s">
        <v>36</v>
      </c>
      <c r="C677" s="80" t="s">
        <v>4659</v>
      </c>
      <c r="D677" s="80" t="s">
        <v>4660</v>
      </c>
      <c r="E677" s="92" t="s">
        <v>4686</v>
      </c>
      <c r="F677" s="91" t="s">
        <v>687</v>
      </c>
      <c r="G677" s="80" t="s">
        <v>48</v>
      </c>
      <c r="H677" s="80" t="s">
        <v>21</v>
      </c>
      <c r="I677" s="91" t="s">
        <v>4675</v>
      </c>
      <c r="J677" s="80" t="s">
        <v>45</v>
      </c>
      <c r="K677" s="91"/>
      <c r="L677" s="92" t="s">
        <v>4687</v>
      </c>
      <c r="M677" s="83">
        <f t="shared" si="1"/>
        <v>104</v>
      </c>
      <c r="N677" s="84"/>
      <c r="O677" s="84"/>
      <c r="P677" s="84">
        <v>104.0</v>
      </c>
      <c r="Q677" s="94">
        <v>5956.0</v>
      </c>
      <c r="R677" s="94">
        <v>570.0</v>
      </c>
      <c r="S677" s="95" t="s">
        <v>350</v>
      </c>
      <c r="T677" s="94">
        <v>1.0</v>
      </c>
      <c r="U677" s="96">
        <v>40003.0</v>
      </c>
      <c r="V677" s="97" t="s">
        <v>4688</v>
      </c>
      <c r="W677" s="97" t="s">
        <v>4671</v>
      </c>
      <c r="X677" s="79"/>
      <c r="Y677" s="88"/>
      <c r="Z677" s="88"/>
      <c r="AA677" s="88"/>
      <c r="AB677" s="88"/>
      <c r="AC677" s="88"/>
      <c r="AD677" s="88"/>
      <c r="AE677" s="88"/>
      <c r="AF677" s="88"/>
      <c r="AG677" s="88"/>
      <c r="AH677" s="88"/>
      <c r="AI677" s="88"/>
      <c r="AJ677" s="88"/>
      <c r="AK677" s="88"/>
      <c r="AL677" s="88"/>
      <c r="AM677" s="88"/>
      <c r="AN677" s="88"/>
      <c r="AO677" s="88"/>
      <c r="AP677" s="88"/>
      <c r="AQ677" s="88"/>
      <c r="AR677" s="88"/>
    </row>
    <row r="678" ht="19.5" customHeight="1">
      <c r="A678" s="79">
        <v>667.0</v>
      </c>
      <c r="B678" s="80" t="s">
        <v>36</v>
      </c>
      <c r="C678" s="91" t="s">
        <v>4689</v>
      </c>
      <c r="D678" s="91" t="s">
        <v>4690</v>
      </c>
      <c r="E678" s="92" t="s">
        <v>4691</v>
      </c>
      <c r="F678" s="91" t="s">
        <v>687</v>
      </c>
      <c r="G678" s="80" t="s">
        <v>48</v>
      </c>
      <c r="H678" s="80" t="s">
        <v>21</v>
      </c>
      <c r="I678" s="91" t="s">
        <v>4692</v>
      </c>
      <c r="J678" s="80" t="s">
        <v>43</v>
      </c>
      <c r="K678" s="80" t="s">
        <v>4689</v>
      </c>
      <c r="L678" s="92" t="s">
        <v>4693</v>
      </c>
      <c r="M678" s="83">
        <f t="shared" si="1"/>
        <v>150</v>
      </c>
      <c r="N678" s="84">
        <v>0.0</v>
      </c>
      <c r="O678" s="84">
        <v>0.0</v>
      </c>
      <c r="P678" s="84">
        <v>150.0</v>
      </c>
      <c r="Q678" s="94">
        <v>4140.0</v>
      </c>
      <c r="R678" s="94">
        <v>201.0</v>
      </c>
      <c r="S678" s="95" t="s">
        <v>2875</v>
      </c>
      <c r="T678" s="94">
        <v>1.0</v>
      </c>
      <c r="U678" s="96">
        <v>39874.0</v>
      </c>
      <c r="V678" s="97" t="s">
        <v>4694</v>
      </c>
      <c r="W678" s="97" t="s">
        <v>4695</v>
      </c>
      <c r="X678" s="79" t="s">
        <v>4696</v>
      </c>
      <c r="Y678" s="88"/>
      <c r="Z678" s="88"/>
      <c r="AA678" s="88"/>
      <c r="AB678" s="88"/>
      <c r="AC678" s="88"/>
      <c r="AD678" s="88"/>
      <c r="AE678" s="88"/>
      <c r="AF678" s="88"/>
      <c r="AG678" s="88"/>
      <c r="AH678" s="88"/>
      <c r="AI678" s="88"/>
      <c r="AJ678" s="88"/>
      <c r="AK678" s="88"/>
      <c r="AL678" s="88"/>
      <c r="AM678" s="88"/>
      <c r="AN678" s="88"/>
      <c r="AO678" s="88"/>
      <c r="AP678" s="88"/>
      <c r="AQ678" s="88"/>
      <c r="AR678" s="88"/>
    </row>
    <row r="679" ht="19.5" customHeight="1">
      <c r="A679" s="79">
        <v>668.0</v>
      </c>
      <c r="B679" s="80" t="s">
        <v>36</v>
      </c>
      <c r="C679" s="91" t="s">
        <v>4689</v>
      </c>
      <c r="D679" s="91" t="s">
        <v>4697</v>
      </c>
      <c r="E679" s="92" t="s">
        <v>4698</v>
      </c>
      <c r="F679" s="91" t="s">
        <v>687</v>
      </c>
      <c r="G679" s="80" t="s">
        <v>42</v>
      </c>
      <c r="H679" s="80" t="s">
        <v>21</v>
      </c>
      <c r="I679" s="91" t="s">
        <v>4692</v>
      </c>
      <c r="J679" s="80" t="s">
        <v>45</v>
      </c>
      <c r="K679" s="80" t="s">
        <v>4699</v>
      </c>
      <c r="L679" s="92" t="s">
        <v>4700</v>
      </c>
      <c r="M679" s="83">
        <f t="shared" si="1"/>
        <v>300</v>
      </c>
      <c r="N679" s="84">
        <v>300.0</v>
      </c>
      <c r="O679" s="84">
        <v>0.0</v>
      </c>
      <c r="P679" s="84">
        <v>0.0</v>
      </c>
      <c r="Q679" s="94">
        <v>57918.0</v>
      </c>
      <c r="R679" s="94">
        <v>2582.0</v>
      </c>
      <c r="S679" s="95" t="s">
        <v>1247</v>
      </c>
      <c r="T679" s="94">
        <v>1.0</v>
      </c>
      <c r="U679" s="96">
        <v>42648.0</v>
      </c>
      <c r="V679" s="97" t="s">
        <v>4701</v>
      </c>
      <c r="W679" s="97" t="s">
        <v>4702</v>
      </c>
      <c r="X679" s="79" t="s">
        <v>4703</v>
      </c>
      <c r="Y679" s="103"/>
      <c r="Z679" s="103"/>
      <c r="AA679" s="103"/>
      <c r="AB679" s="103"/>
      <c r="AC679" s="103"/>
      <c r="AD679" s="103"/>
      <c r="AE679" s="103"/>
      <c r="AF679" s="103"/>
      <c r="AG679" s="103"/>
      <c r="AH679" s="103"/>
      <c r="AI679" s="103"/>
      <c r="AJ679" s="103"/>
      <c r="AK679" s="103"/>
      <c r="AL679" s="103"/>
      <c r="AM679" s="103"/>
      <c r="AN679" s="103"/>
      <c r="AO679" s="103"/>
      <c r="AP679" s="103"/>
      <c r="AQ679" s="103"/>
      <c r="AR679" s="103"/>
    </row>
    <row r="680" ht="19.5" customHeight="1">
      <c r="A680" s="79">
        <v>669.0</v>
      </c>
      <c r="B680" s="80" t="s">
        <v>36</v>
      </c>
      <c r="C680" s="80" t="s">
        <v>4704</v>
      </c>
      <c r="D680" s="80" t="s">
        <v>4705</v>
      </c>
      <c r="E680" s="81" t="s">
        <v>4706</v>
      </c>
      <c r="F680" s="80" t="s">
        <v>687</v>
      </c>
      <c r="G680" s="80" t="s">
        <v>42</v>
      </c>
      <c r="H680" s="80" t="s">
        <v>21</v>
      </c>
      <c r="I680" s="80" t="s">
        <v>4707</v>
      </c>
      <c r="J680" s="80" t="s">
        <v>45</v>
      </c>
      <c r="K680" s="80" t="s">
        <v>4708</v>
      </c>
      <c r="L680" s="92" t="s">
        <v>4709</v>
      </c>
      <c r="M680" s="83">
        <f t="shared" si="1"/>
        <v>300</v>
      </c>
      <c r="N680" s="84">
        <v>300.0</v>
      </c>
      <c r="O680" s="84"/>
      <c r="P680" s="84"/>
      <c r="Q680" s="94">
        <v>3256.0</v>
      </c>
      <c r="R680" s="94">
        <v>2542.0</v>
      </c>
      <c r="S680" s="95" t="s">
        <v>103</v>
      </c>
      <c r="T680" s="94">
        <v>3.0</v>
      </c>
      <c r="U680" s="96">
        <v>39364.0</v>
      </c>
      <c r="V680" s="97" t="s">
        <v>4710</v>
      </c>
      <c r="W680" s="97" t="s">
        <v>4711</v>
      </c>
      <c r="X680" s="79" t="s">
        <v>4712</v>
      </c>
      <c r="Y680" s="88"/>
      <c r="Z680" s="88"/>
      <c r="AA680" s="88"/>
      <c r="AB680" s="88"/>
      <c r="AC680" s="88"/>
      <c r="AD680" s="88"/>
      <c r="AE680" s="88"/>
      <c r="AF680" s="88"/>
      <c r="AG680" s="88"/>
      <c r="AH680" s="88"/>
      <c r="AI680" s="88"/>
      <c r="AJ680" s="88"/>
      <c r="AK680" s="88"/>
      <c r="AL680" s="88"/>
      <c r="AM680" s="88"/>
      <c r="AN680" s="88"/>
      <c r="AO680" s="88"/>
      <c r="AP680" s="88"/>
      <c r="AQ680" s="88"/>
      <c r="AR680" s="88"/>
    </row>
    <row r="681" ht="19.5" customHeight="1">
      <c r="A681" s="79">
        <v>670.0</v>
      </c>
      <c r="B681" s="80" t="s">
        <v>36</v>
      </c>
      <c r="C681" s="80" t="s">
        <v>4704</v>
      </c>
      <c r="D681" s="80" t="s">
        <v>4713</v>
      </c>
      <c r="E681" s="81" t="s">
        <v>4714</v>
      </c>
      <c r="F681" s="80" t="s">
        <v>687</v>
      </c>
      <c r="G681" s="80" t="s">
        <v>44</v>
      </c>
      <c r="H681" s="80" t="s">
        <v>21</v>
      </c>
      <c r="I681" s="80" t="s">
        <v>4707</v>
      </c>
      <c r="J681" s="80" t="s">
        <v>43</v>
      </c>
      <c r="K681" s="80" t="s">
        <v>4704</v>
      </c>
      <c r="L681" s="92" t="s">
        <v>4715</v>
      </c>
      <c r="M681" s="83">
        <f t="shared" si="1"/>
        <v>150</v>
      </c>
      <c r="N681" s="84">
        <v>150.0</v>
      </c>
      <c r="O681" s="84"/>
      <c r="P681" s="84"/>
      <c r="Q681" s="94">
        <v>1730.0</v>
      </c>
      <c r="R681" s="94">
        <v>404.0</v>
      </c>
      <c r="S681" s="95" t="s">
        <v>350</v>
      </c>
      <c r="T681" s="94">
        <v>1.0</v>
      </c>
      <c r="U681" s="96">
        <v>40098.0</v>
      </c>
      <c r="V681" s="97" t="s">
        <v>4716</v>
      </c>
      <c r="W681" s="97" t="s">
        <v>4717</v>
      </c>
      <c r="X681" s="79"/>
      <c r="Y681" s="88"/>
      <c r="Z681" s="88"/>
      <c r="AA681" s="88"/>
      <c r="AB681" s="88"/>
      <c r="AC681" s="88"/>
      <c r="AD681" s="88"/>
      <c r="AE681" s="88"/>
      <c r="AF681" s="88"/>
      <c r="AG681" s="88"/>
      <c r="AH681" s="88"/>
      <c r="AI681" s="88"/>
      <c r="AJ681" s="88"/>
      <c r="AK681" s="88"/>
      <c r="AL681" s="88"/>
      <c r="AM681" s="88"/>
      <c r="AN681" s="88"/>
      <c r="AO681" s="88"/>
      <c r="AP681" s="88"/>
      <c r="AQ681" s="88"/>
      <c r="AR681" s="88"/>
    </row>
    <row r="682" ht="19.5" customHeight="1">
      <c r="A682" s="79">
        <v>671.0</v>
      </c>
      <c r="B682" s="80" t="s">
        <v>36</v>
      </c>
      <c r="C682" s="80" t="s">
        <v>4704</v>
      </c>
      <c r="D682" s="80" t="s">
        <v>4718</v>
      </c>
      <c r="E682" s="81" t="s">
        <v>4719</v>
      </c>
      <c r="F682" s="80" t="s">
        <v>687</v>
      </c>
      <c r="G682" s="80" t="s">
        <v>44</v>
      </c>
      <c r="H682" s="80" t="s">
        <v>21</v>
      </c>
      <c r="I682" s="80" t="s">
        <v>4707</v>
      </c>
      <c r="J682" s="80" t="s">
        <v>43</v>
      </c>
      <c r="K682" s="80" t="s">
        <v>4704</v>
      </c>
      <c r="L682" s="92" t="s">
        <v>4720</v>
      </c>
      <c r="M682" s="83">
        <f t="shared" si="1"/>
        <v>200</v>
      </c>
      <c r="N682" s="84">
        <v>200.0</v>
      </c>
      <c r="O682" s="84"/>
      <c r="P682" s="84"/>
      <c r="Q682" s="94">
        <v>3968.0</v>
      </c>
      <c r="R682" s="94">
        <v>1260.0</v>
      </c>
      <c r="S682" s="95" t="s">
        <v>350</v>
      </c>
      <c r="T682" s="94">
        <v>1.0</v>
      </c>
      <c r="U682" s="96">
        <v>41039.0</v>
      </c>
      <c r="V682" s="97" t="s">
        <v>4721</v>
      </c>
      <c r="W682" s="97" t="s">
        <v>4722</v>
      </c>
      <c r="X682" s="79" t="s">
        <v>4723</v>
      </c>
      <c r="Y682" s="88"/>
      <c r="Z682" s="88"/>
      <c r="AA682" s="88"/>
      <c r="AB682" s="88"/>
      <c r="AC682" s="88"/>
      <c r="AD682" s="88"/>
      <c r="AE682" s="88"/>
      <c r="AF682" s="88"/>
      <c r="AG682" s="88"/>
      <c r="AH682" s="88"/>
      <c r="AI682" s="88"/>
      <c r="AJ682" s="88"/>
      <c r="AK682" s="88"/>
      <c r="AL682" s="88"/>
      <c r="AM682" s="88"/>
      <c r="AN682" s="88"/>
      <c r="AO682" s="88"/>
      <c r="AP682" s="88"/>
      <c r="AQ682" s="88"/>
      <c r="AR682" s="88"/>
    </row>
    <row r="683" ht="19.5" customHeight="1">
      <c r="A683" s="79">
        <v>672.0</v>
      </c>
      <c r="B683" s="80" t="s">
        <v>36</v>
      </c>
      <c r="C683" s="80" t="s">
        <v>4704</v>
      </c>
      <c r="D683" s="80" t="s">
        <v>4724</v>
      </c>
      <c r="E683" s="81" t="s">
        <v>4725</v>
      </c>
      <c r="F683" s="80" t="s">
        <v>687</v>
      </c>
      <c r="G683" s="80" t="s">
        <v>44</v>
      </c>
      <c r="H683" s="80" t="s">
        <v>21</v>
      </c>
      <c r="I683" s="80" t="s">
        <v>4707</v>
      </c>
      <c r="J683" s="80" t="s">
        <v>43</v>
      </c>
      <c r="K683" s="80" t="s">
        <v>4704</v>
      </c>
      <c r="L683" s="92" t="s">
        <v>4726</v>
      </c>
      <c r="M683" s="83">
        <f t="shared" si="1"/>
        <v>200</v>
      </c>
      <c r="N683" s="84">
        <v>200.0</v>
      </c>
      <c r="O683" s="84"/>
      <c r="P683" s="84"/>
      <c r="Q683" s="94">
        <v>3215.0</v>
      </c>
      <c r="R683" s="94">
        <v>669.0</v>
      </c>
      <c r="S683" s="95" t="s">
        <v>350</v>
      </c>
      <c r="T683" s="94">
        <v>1.0</v>
      </c>
      <c r="U683" s="96">
        <v>42068.0</v>
      </c>
      <c r="V683" s="97" t="s">
        <v>4727</v>
      </c>
      <c r="W683" s="97" t="s">
        <v>4728</v>
      </c>
      <c r="X683" s="79"/>
      <c r="Y683" s="88"/>
      <c r="Z683" s="88"/>
      <c r="AA683" s="88"/>
      <c r="AB683" s="88"/>
      <c r="AC683" s="88"/>
      <c r="AD683" s="88"/>
      <c r="AE683" s="88"/>
      <c r="AF683" s="88"/>
      <c r="AG683" s="88"/>
      <c r="AH683" s="88"/>
      <c r="AI683" s="88"/>
      <c r="AJ683" s="88"/>
      <c r="AK683" s="88"/>
      <c r="AL683" s="88"/>
      <c r="AM683" s="88"/>
      <c r="AN683" s="88"/>
      <c r="AO683" s="88"/>
      <c r="AP683" s="88"/>
      <c r="AQ683" s="88"/>
      <c r="AR683" s="88"/>
    </row>
    <row r="684" ht="19.5" customHeight="1">
      <c r="A684" s="79">
        <v>673.0</v>
      </c>
      <c r="B684" s="80" t="s">
        <v>36</v>
      </c>
      <c r="C684" s="80" t="s">
        <v>4704</v>
      </c>
      <c r="D684" s="80" t="s">
        <v>4705</v>
      </c>
      <c r="E684" s="81" t="s">
        <v>4729</v>
      </c>
      <c r="F684" s="80" t="s">
        <v>687</v>
      </c>
      <c r="G684" s="80" t="s">
        <v>46</v>
      </c>
      <c r="H684" s="80" t="s">
        <v>21</v>
      </c>
      <c r="I684" s="80" t="s">
        <v>4707</v>
      </c>
      <c r="J684" s="80" t="s">
        <v>45</v>
      </c>
      <c r="K684" s="80" t="s">
        <v>4730</v>
      </c>
      <c r="L684" s="92" t="s">
        <v>4731</v>
      </c>
      <c r="M684" s="83">
        <f t="shared" si="1"/>
        <v>200</v>
      </c>
      <c r="N684" s="84">
        <v>0.0</v>
      </c>
      <c r="O684" s="84">
        <v>200.0</v>
      </c>
      <c r="P684" s="84">
        <v>0.0</v>
      </c>
      <c r="Q684" s="94">
        <v>9800.0</v>
      </c>
      <c r="R684" s="94">
        <v>3184.0</v>
      </c>
      <c r="S684" s="95" t="s">
        <v>314</v>
      </c>
      <c r="T684" s="94">
        <v>2.0</v>
      </c>
      <c r="U684" s="96">
        <v>41627.0</v>
      </c>
      <c r="V684" s="97" t="s">
        <v>4732</v>
      </c>
      <c r="W684" s="97" t="s">
        <v>4733</v>
      </c>
      <c r="X684" s="79" t="s">
        <v>4734</v>
      </c>
      <c r="Y684" s="88"/>
      <c r="Z684" s="88"/>
      <c r="AA684" s="88"/>
      <c r="AB684" s="88"/>
      <c r="AC684" s="88"/>
      <c r="AD684" s="88"/>
      <c r="AE684" s="88"/>
      <c r="AF684" s="88"/>
      <c r="AG684" s="88"/>
      <c r="AH684" s="88"/>
      <c r="AI684" s="88"/>
      <c r="AJ684" s="88"/>
      <c r="AK684" s="88"/>
      <c r="AL684" s="88"/>
      <c r="AM684" s="88"/>
      <c r="AN684" s="88"/>
      <c r="AO684" s="88"/>
      <c r="AP684" s="88"/>
      <c r="AQ684" s="88"/>
      <c r="AR684" s="88"/>
    </row>
    <row r="685" ht="19.5" customHeight="1">
      <c r="A685" s="79">
        <v>674.0</v>
      </c>
      <c r="B685" s="80" t="s">
        <v>36</v>
      </c>
      <c r="C685" s="80" t="s">
        <v>4735</v>
      </c>
      <c r="D685" s="80" t="s">
        <v>4736</v>
      </c>
      <c r="E685" s="81" t="s">
        <v>4737</v>
      </c>
      <c r="F685" s="80" t="s">
        <v>687</v>
      </c>
      <c r="G685" s="80" t="s">
        <v>46</v>
      </c>
      <c r="H685" s="80" t="s">
        <v>21</v>
      </c>
      <c r="I685" s="80" t="s">
        <v>4738</v>
      </c>
      <c r="J685" s="80" t="s">
        <v>43</v>
      </c>
      <c r="K685" s="80"/>
      <c r="L685" s="92" t="s">
        <v>4739</v>
      </c>
      <c r="M685" s="83">
        <f t="shared" si="1"/>
        <v>500</v>
      </c>
      <c r="N685" s="84">
        <v>50.0</v>
      </c>
      <c r="O685" s="84">
        <v>450.0</v>
      </c>
      <c r="P685" s="84">
        <v>0.0</v>
      </c>
      <c r="Q685" s="94">
        <v>84549.0</v>
      </c>
      <c r="R685" s="94">
        <v>4688.0</v>
      </c>
      <c r="S685" s="95" t="s">
        <v>103</v>
      </c>
      <c r="T685" s="94">
        <v>3.0</v>
      </c>
      <c r="U685" s="96">
        <v>36251.0</v>
      </c>
      <c r="V685" s="97" t="s">
        <v>4740</v>
      </c>
      <c r="W685" s="97" t="s">
        <v>4741</v>
      </c>
      <c r="X685" s="79" t="s">
        <v>4742</v>
      </c>
      <c r="Y685" s="88"/>
      <c r="Z685" s="88"/>
      <c r="AA685" s="88"/>
      <c r="AB685" s="88"/>
      <c r="AC685" s="88"/>
      <c r="AD685" s="88"/>
      <c r="AE685" s="88"/>
      <c r="AF685" s="88"/>
      <c r="AG685" s="88"/>
      <c r="AH685" s="88"/>
      <c r="AI685" s="88"/>
      <c r="AJ685" s="88"/>
      <c r="AK685" s="88"/>
      <c r="AL685" s="88"/>
      <c r="AM685" s="88"/>
      <c r="AN685" s="88"/>
      <c r="AO685" s="88"/>
      <c r="AP685" s="88"/>
      <c r="AQ685" s="88"/>
      <c r="AR685" s="88"/>
    </row>
    <row r="686" ht="19.5" customHeight="1">
      <c r="A686" s="79">
        <v>675.0</v>
      </c>
      <c r="B686" s="80" t="s">
        <v>36</v>
      </c>
      <c r="C686" s="80" t="s">
        <v>4735</v>
      </c>
      <c r="D686" s="80" t="s">
        <v>4736</v>
      </c>
      <c r="E686" s="81" t="s">
        <v>4743</v>
      </c>
      <c r="F686" s="80" t="s">
        <v>687</v>
      </c>
      <c r="G686" s="80" t="s">
        <v>12</v>
      </c>
      <c r="H686" s="80" t="s">
        <v>21</v>
      </c>
      <c r="I686" s="80" t="s">
        <v>4738</v>
      </c>
      <c r="J686" s="80" t="s">
        <v>43</v>
      </c>
      <c r="K686" s="80"/>
      <c r="L686" s="92" t="s">
        <v>4744</v>
      </c>
      <c r="M686" s="83">
        <f t="shared" si="1"/>
        <v>350</v>
      </c>
      <c r="N686" s="84">
        <v>150.0</v>
      </c>
      <c r="O686" s="84">
        <v>200.0</v>
      </c>
      <c r="P686" s="84">
        <v>0.0</v>
      </c>
      <c r="Q686" s="94">
        <v>162522.0</v>
      </c>
      <c r="R686" s="94">
        <v>3109.46</v>
      </c>
      <c r="S686" s="95" t="s">
        <v>194</v>
      </c>
      <c r="T686" s="94">
        <v>2.0</v>
      </c>
      <c r="U686" s="96">
        <v>40817.0</v>
      </c>
      <c r="V686" s="97" t="s">
        <v>4745</v>
      </c>
      <c r="W686" s="97" t="s">
        <v>4746</v>
      </c>
      <c r="X686" s="79" t="s">
        <v>4747</v>
      </c>
      <c r="Y686" s="88"/>
      <c r="Z686" s="88"/>
      <c r="AA686" s="88"/>
      <c r="AB686" s="88"/>
      <c r="AC686" s="88"/>
      <c r="AD686" s="88"/>
      <c r="AE686" s="88"/>
      <c r="AF686" s="88"/>
      <c r="AG686" s="88"/>
      <c r="AH686" s="88"/>
      <c r="AI686" s="88"/>
      <c r="AJ686" s="88"/>
      <c r="AK686" s="88"/>
      <c r="AL686" s="88"/>
      <c r="AM686" s="88"/>
      <c r="AN686" s="88"/>
      <c r="AO686" s="88"/>
      <c r="AP686" s="88"/>
      <c r="AQ686" s="88"/>
      <c r="AR686" s="88"/>
    </row>
    <row r="687" ht="19.5" customHeight="1">
      <c r="A687" s="79">
        <v>676.0</v>
      </c>
      <c r="B687" s="80" t="s">
        <v>36</v>
      </c>
      <c r="C687" s="80" t="s">
        <v>4748</v>
      </c>
      <c r="D687" s="80" t="s">
        <v>4749</v>
      </c>
      <c r="E687" s="81" t="s">
        <v>4750</v>
      </c>
      <c r="F687" s="80" t="s">
        <v>687</v>
      </c>
      <c r="G687" s="80" t="s">
        <v>44</v>
      </c>
      <c r="H687" s="80" t="s">
        <v>21</v>
      </c>
      <c r="I687" s="80" t="s">
        <v>4751</v>
      </c>
      <c r="J687" s="80" t="s">
        <v>45</v>
      </c>
      <c r="K687" s="80" t="s">
        <v>4752</v>
      </c>
      <c r="L687" s="92" t="s">
        <v>4753</v>
      </c>
      <c r="M687" s="83">
        <f t="shared" si="1"/>
        <v>50</v>
      </c>
      <c r="N687" s="84">
        <v>50.0</v>
      </c>
      <c r="O687" s="84"/>
      <c r="P687" s="84"/>
      <c r="Q687" s="94">
        <v>4860.0</v>
      </c>
      <c r="R687" s="94">
        <v>690.27</v>
      </c>
      <c r="S687" s="95" t="s">
        <v>4754</v>
      </c>
      <c r="T687" s="94">
        <v>1.0</v>
      </c>
      <c r="U687" s="96">
        <v>42247.0</v>
      </c>
      <c r="V687" s="97" t="s">
        <v>4755</v>
      </c>
      <c r="W687" s="97" t="s">
        <v>4756</v>
      </c>
      <c r="X687" s="79" t="s">
        <v>4757</v>
      </c>
      <c r="Y687" s="88"/>
      <c r="Z687" s="88"/>
      <c r="AA687" s="88"/>
      <c r="AB687" s="88"/>
      <c r="AC687" s="88"/>
      <c r="AD687" s="88"/>
      <c r="AE687" s="88"/>
      <c r="AF687" s="88"/>
      <c r="AG687" s="88"/>
      <c r="AH687" s="88"/>
      <c r="AI687" s="88"/>
      <c r="AJ687" s="88"/>
      <c r="AK687" s="88"/>
      <c r="AL687" s="88"/>
      <c r="AM687" s="88"/>
      <c r="AN687" s="88"/>
      <c r="AO687" s="88"/>
      <c r="AP687" s="88"/>
      <c r="AQ687" s="88"/>
      <c r="AR687" s="88"/>
    </row>
    <row r="688" ht="19.5" customHeight="1">
      <c r="A688" s="79">
        <v>677.0</v>
      </c>
      <c r="B688" s="80" t="s">
        <v>36</v>
      </c>
      <c r="C688" s="80" t="s">
        <v>4758</v>
      </c>
      <c r="D688" s="80" t="s">
        <v>4759</v>
      </c>
      <c r="E688" s="81" t="s">
        <v>4760</v>
      </c>
      <c r="F688" s="80" t="s">
        <v>687</v>
      </c>
      <c r="G688" s="80" t="s">
        <v>12</v>
      </c>
      <c r="H688" s="80" t="s">
        <v>21</v>
      </c>
      <c r="I688" s="80" t="s">
        <v>4761</v>
      </c>
      <c r="J688" s="80" t="s">
        <v>45</v>
      </c>
      <c r="K688" s="80"/>
      <c r="L688" s="92" t="s">
        <v>4762</v>
      </c>
      <c r="M688" s="83">
        <f t="shared" si="1"/>
        <v>450</v>
      </c>
      <c r="N688" s="84"/>
      <c r="O688" s="84">
        <v>450.0</v>
      </c>
      <c r="P688" s="84"/>
      <c r="Q688" s="94">
        <v>11560.0</v>
      </c>
      <c r="R688" s="94">
        <v>4531.02</v>
      </c>
      <c r="S688" s="95" t="s">
        <v>380</v>
      </c>
      <c r="T688" s="94">
        <v>1.0</v>
      </c>
      <c r="U688" s="96">
        <v>39692.0</v>
      </c>
      <c r="V688" s="97" t="s">
        <v>4763</v>
      </c>
      <c r="W688" s="97" t="s">
        <v>4763</v>
      </c>
      <c r="X688" s="79" t="s">
        <v>4764</v>
      </c>
      <c r="Y688" s="88"/>
      <c r="Z688" s="88"/>
      <c r="AA688" s="88"/>
      <c r="AB688" s="88"/>
      <c r="AC688" s="88"/>
      <c r="AD688" s="88"/>
      <c r="AE688" s="88"/>
      <c r="AF688" s="88"/>
      <c r="AG688" s="88"/>
      <c r="AH688" s="88"/>
      <c r="AI688" s="88"/>
      <c r="AJ688" s="88"/>
      <c r="AK688" s="88"/>
      <c r="AL688" s="88"/>
      <c r="AM688" s="88"/>
      <c r="AN688" s="88"/>
      <c r="AO688" s="88"/>
      <c r="AP688" s="88"/>
      <c r="AQ688" s="88"/>
      <c r="AR688" s="88"/>
    </row>
    <row r="689" ht="19.5" customHeight="1">
      <c r="A689" s="79">
        <v>678.0</v>
      </c>
      <c r="B689" s="80" t="s">
        <v>36</v>
      </c>
      <c r="C689" s="80" t="s">
        <v>4758</v>
      </c>
      <c r="D689" s="80" t="s">
        <v>4765</v>
      </c>
      <c r="E689" s="81" t="s">
        <v>4766</v>
      </c>
      <c r="F689" s="80" t="s">
        <v>687</v>
      </c>
      <c r="G689" s="80" t="s">
        <v>12</v>
      </c>
      <c r="H689" s="80" t="s">
        <v>21</v>
      </c>
      <c r="I689" s="80" t="s">
        <v>4761</v>
      </c>
      <c r="J689" s="80" t="s">
        <v>45</v>
      </c>
      <c r="K689" s="80" t="s">
        <v>4767</v>
      </c>
      <c r="L689" s="92" t="s">
        <v>4768</v>
      </c>
      <c r="M689" s="83">
        <f t="shared" si="1"/>
        <v>250</v>
      </c>
      <c r="N689" s="84"/>
      <c r="O689" s="84">
        <v>250.0</v>
      </c>
      <c r="P689" s="84"/>
      <c r="Q689" s="94">
        <v>9872.0</v>
      </c>
      <c r="R689" s="94">
        <v>2158.0</v>
      </c>
      <c r="S689" s="95" t="s">
        <v>380</v>
      </c>
      <c r="T689" s="94">
        <v>1.0</v>
      </c>
      <c r="U689" s="96">
        <v>35426.0</v>
      </c>
      <c r="V689" s="97" t="s">
        <v>4769</v>
      </c>
      <c r="W689" s="97" t="s">
        <v>4770</v>
      </c>
      <c r="X689" s="79" t="s">
        <v>4771</v>
      </c>
      <c r="Y689" s="88"/>
      <c r="Z689" s="88"/>
      <c r="AA689" s="88"/>
      <c r="AB689" s="88"/>
      <c r="AC689" s="88"/>
      <c r="AD689" s="88"/>
      <c r="AE689" s="88"/>
      <c r="AF689" s="88"/>
      <c r="AG689" s="88"/>
      <c r="AH689" s="88"/>
      <c r="AI689" s="88"/>
      <c r="AJ689" s="88"/>
      <c r="AK689" s="88"/>
      <c r="AL689" s="88"/>
      <c r="AM689" s="88"/>
      <c r="AN689" s="88"/>
      <c r="AO689" s="88"/>
      <c r="AP689" s="88"/>
      <c r="AQ689" s="88"/>
      <c r="AR689" s="88"/>
    </row>
    <row r="690" ht="19.5" customHeight="1">
      <c r="A690" s="79">
        <v>679.0</v>
      </c>
      <c r="B690" s="80" t="s">
        <v>36</v>
      </c>
      <c r="C690" s="80" t="s">
        <v>4758</v>
      </c>
      <c r="D690" s="80" t="s">
        <v>4772</v>
      </c>
      <c r="E690" s="81" t="s">
        <v>4773</v>
      </c>
      <c r="F690" s="80" t="s">
        <v>687</v>
      </c>
      <c r="G690" s="80" t="s">
        <v>44</v>
      </c>
      <c r="H690" s="80" t="s">
        <v>21</v>
      </c>
      <c r="I690" s="80" t="s">
        <v>4761</v>
      </c>
      <c r="J690" s="80" t="s">
        <v>45</v>
      </c>
      <c r="K690" s="80" t="s">
        <v>4774</v>
      </c>
      <c r="L690" s="92" t="s">
        <v>4775</v>
      </c>
      <c r="M690" s="83">
        <f t="shared" si="1"/>
        <v>70</v>
      </c>
      <c r="N690" s="84">
        <v>70.0</v>
      </c>
      <c r="O690" s="84"/>
      <c r="P690" s="84"/>
      <c r="Q690" s="94">
        <v>2396.0</v>
      </c>
      <c r="R690" s="94">
        <v>659.0</v>
      </c>
      <c r="S690" s="95" t="s">
        <v>350</v>
      </c>
      <c r="T690" s="94">
        <v>1.0</v>
      </c>
      <c r="U690" s="96">
        <v>41887.0</v>
      </c>
      <c r="V690" s="97" t="s">
        <v>4776</v>
      </c>
      <c r="W690" s="97" t="s">
        <v>4777</v>
      </c>
      <c r="X690" s="79" t="s">
        <v>4778</v>
      </c>
      <c r="Y690" s="88"/>
      <c r="Z690" s="88"/>
      <c r="AA690" s="88"/>
      <c r="AB690" s="88"/>
      <c r="AC690" s="88"/>
      <c r="AD690" s="88"/>
      <c r="AE690" s="88"/>
      <c r="AF690" s="88"/>
      <c r="AG690" s="88"/>
      <c r="AH690" s="88"/>
      <c r="AI690" s="88"/>
      <c r="AJ690" s="88"/>
      <c r="AK690" s="88"/>
      <c r="AL690" s="88"/>
      <c r="AM690" s="88"/>
      <c r="AN690" s="88"/>
      <c r="AO690" s="88"/>
      <c r="AP690" s="88"/>
      <c r="AQ690" s="88"/>
      <c r="AR690" s="88"/>
    </row>
    <row r="691" ht="19.5" customHeight="1">
      <c r="A691" s="79">
        <v>680.0</v>
      </c>
      <c r="B691" s="80" t="s">
        <v>36</v>
      </c>
      <c r="C691" s="80" t="s">
        <v>4779</v>
      </c>
      <c r="D691" s="80" t="s">
        <v>4780</v>
      </c>
      <c r="E691" s="81" t="s">
        <v>4781</v>
      </c>
      <c r="F691" s="80" t="s">
        <v>687</v>
      </c>
      <c r="G691" s="80" t="s">
        <v>44</v>
      </c>
      <c r="H691" s="80" t="s">
        <v>21</v>
      </c>
      <c r="I691" s="80" t="s">
        <v>4782</v>
      </c>
      <c r="J691" s="80" t="s">
        <v>43</v>
      </c>
      <c r="K691" s="80" t="s">
        <v>4782</v>
      </c>
      <c r="L691" s="92" t="s">
        <v>4783</v>
      </c>
      <c r="M691" s="83">
        <f t="shared" si="1"/>
        <v>200</v>
      </c>
      <c r="N691" s="84">
        <v>200.0</v>
      </c>
      <c r="O691" s="84"/>
      <c r="P691" s="84"/>
      <c r="Q691" s="94">
        <v>2056.0</v>
      </c>
      <c r="R691" s="94">
        <v>7852.0</v>
      </c>
      <c r="S691" s="95" t="s">
        <v>4784</v>
      </c>
      <c r="T691" s="94">
        <v>1.0</v>
      </c>
      <c r="U691" s="96">
        <v>43129.0</v>
      </c>
      <c r="V691" s="97" t="s">
        <v>4785</v>
      </c>
      <c r="W691" s="97" t="s">
        <v>4786</v>
      </c>
      <c r="X691" s="79" t="s">
        <v>4787</v>
      </c>
      <c r="Y691" s="88"/>
      <c r="Z691" s="88"/>
      <c r="AA691" s="88"/>
      <c r="AB691" s="88"/>
      <c r="AC691" s="88"/>
      <c r="AD691" s="88"/>
      <c r="AE691" s="88"/>
      <c r="AF691" s="88"/>
      <c r="AG691" s="88"/>
      <c r="AH691" s="88"/>
      <c r="AI691" s="88"/>
      <c r="AJ691" s="88"/>
      <c r="AK691" s="88"/>
      <c r="AL691" s="88"/>
      <c r="AM691" s="88"/>
      <c r="AN691" s="88"/>
      <c r="AO691" s="88"/>
      <c r="AP691" s="88"/>
      <c r="AQ691" s="88"/>
      <c r="AR691" s="88"/>
    </row>
    <row r="692" ht="19.5" customHeight="1">
      <c r="A692" s="79">
        <v>681.0</v>
      </c>
      <c r="B692" s="80" t="s">
        <v>36</v>
      </c>
      <c r="C692" s="80" t="s">
        <v>4779</v>
      </c>
      <c r="D692" s="80" t="s">
        <v>4780</v>
      </c>
      <c r="E692" s="81" t="s">
        <v>4788</v>
      </c>
      <c r="F692" s="80" t="s">
        <v>687</v>
      </c>
      <c r="G692" s="80" t="s">
        <v>42</v>
      </c>
      <c r="H692" s="80" t="s">
        <v>21</v>
      </c>
      <c r="I692" s="80" t="s">
        <v>4782</v>
      </c>
      <c r="J692" s="80" t="s">
        <v>43</v>
      </c>
      <c r="K692" s="80" t="s">
        <v>4782</v>
      </c>
      <c r="L692" s="92" t="s">
        <v>4789</v>
      </c>
      <c r="M692" s="83">
        <f t="shared" si="1"/>
        <v>220</v>
      </c>
      <c r="N692" s="84">
        <v>220.0</v>
      </c>
      <c r="O692" s="84"/>
      <c r="P692" s="84"/>
      <c r="Q692" s="94">
        <v>3698.0</v>
      </c>
      <c r="R692" s="94">
        <v>2687.0</v>
      </c>
      <c r="S692" s="95" t="s">
        <v>314</v>
      </c>
      <c r="T692" s="94">
        <v>1.0</v>
      </c>
      <c r="U692" s="96">
        <v>45343.0</v>
      </c>
      <c r="V692" s="97" t="s">
        <v>4790</v>
      </c>
      <c r="W692" s="97" t="s">
        <v>4791</v>
      </c>
      <c r="X692" s="79" t="s">
        <v>4792</v>
      </c>
      <c r="Y692" s="88"/>
      <c r="Z692" s="88"/>
      <c r="AA692" s="88"/>
      <c r="AB692" s="88"/>
      <c r="AC692" s="88"/>
      <c r="AD692" s="88"/>
      <c r="AE692" s="88"/>
      <c r="AF692" s="88"/>
      <c r="AG692" s="88"/>
      <c r="AH692" s="88"/>
      <c r="AI692" s="88"/>
      <c r="AJ692" s="88"/>
      <c r="AK692" s="88"/>
      <c r="AL692" s="88"/>
      <c r="AM692" s="88"/>
      <c r="AN692" s="88"/>
      <c r="AO692" s="88"/>
      <c r="AP692" s="88"/>
      <c r="AQ692" s="88"/>
      <c r="AR692" s="88"/>
    </row>
    <row r="693" ht="19.5" customHeight="1">
      <c r="A693" s="79">
        <v>682.0</v>
      </c>
      <c r="B693" s="80" t="s">
        <v>37</v>
      </c>
      <c r="C693" s="80" t="s">
        <v>4793</v>
      </c>
      <c r="D693" s="80" t="s">
        <v>4794</v>
      </c>
      <c r="E693" s="81" t="s">
        <v>4795</v>
      </c>
      <c r="F693" s="80" t="s">
        <v>81</v>
      </c>
      <c r="G693" s="80" t="s">
        <v>44</v>
      </c>
      <c r="H693" s="80" t="s">
        <v>21</v>
      </c>
      <c r="I693" s="80" t="s">
        <v>4796</v>
      </c>
      <c r="J693" s="80" t="s">
        <v>43</v>
      </c>
      <c r="K693" s="80" t="s">
        <v>4793</v>
      </c>
      <c r="L693" s="92" t="s">
        <v>4797</v>
      </c>
      <c r="M693" s="83">
        <f t="shared" si="1"/>
        <v>77</v>
      </c>
      <c r="N693" s="84">
        <v>77.0</v>
      </c>
      <c r="O693" s="84">
        <v>0.0</v>
      </c>
      <c r="P693" s="84"/>
      <c r="Q693" s="94">
        <v>997.0</v>
      </c>
      <c r="R693" s="94">
        <v>422.51</v>
      </c>
      <c r="S693" s="95" t="s">
        <v>4798</v>
      </c>
      <c r="T693" s="94">
        <v>1.0</v>
      </c>
      <c r="U693" s="96">
        <v>38349.0</v>
      </c>
      <c r="V693" s="97" t="s">
        <v>4799</v>
      </c>
      <c r="W693" s="97" t="s">
        <v>4800</v>
      </c>
      <c r="X693" s="79" t="s">
        <v>4801</v>
      </c>
      <c r="Y693" s="88"/>
      <c r="Z693" s="88"/>
      <c r="AA693" s="88"/>
      <c r="AB693" s="88"/>
      <c r="AC693" s="88"/>
      <c r="AD693" s="88"/>
      <c r="AE693" s="88"/>
      <c r="AF693" s="88"/>
      <c r="AG693" s="88"/>
      <c r="AH693" s="88"/>
      <c r="AI693" s="88"/>
      <c r="AJ693" s="88"/>
      <c r="AK693" s="88"/>
      <c r="AL693" s="88"/>
      <c r="AM693" s="88"/>
      <c r="AN693" s="88"/>
      <c r="AO693" s="88"/>
      <c r="AP693" s="88"/>
      <c r="AQ693" s="88"/>
      <c r="AR693" s="88"/>
    </row>
    <row r="694" ht="19.5" customHeight="1">
      <c r="A694" s="79">
        <v>683.0</v>
      </c>
      <c r="B694" s="80" t="s">
        <v>37</v>
      </c>
      <c r="C694" s="80" t="s">
        <v>4793</v>
      </c>
      <c r="D694" s="80" t="s">
        <v>4802</v>
      </c>
      <c r="E694" s="81" t="s">
        <v>4803</v>
      </c>
      <c r="F694" s="80" t="s">
        <v>81</v>
      </c>
      <c r="G694" s="80" t="s">
        <v>46</v>
      </c>
      <c r="H694" s="80" t="s">
        <v>21</v>
      </c>
      <c r="I694" s="80" t="s">
        <v>4796</v>
      </c>
      <c r="J694" s="80" t="s">
        <v>45</v>
      </c>
      <c r="K694" s="80" t="s">
        <v>4804</v>
      </c>
      <c r="L694" s="92" t="s">
        <v>4805</v>
      </c>
      <c r="M694" s="83">
        <f t="shared" si="1"/>
        <v>150</v>
      </c>
      <c r="N694" s="84">
        <v>100.0</v>
      </c>
      <c r="O694" s="84">
        <v>50.0</v>
      </c>
      <c r="P694" s="84"/>
      <c r="Q694" s="94">
        <v>8342.0</v>
      </c>
      <c r="R694" s="94">
        <v>1167.0</v>
      </c>
      <c r="S694" s="95" t="s">
        <v>704</v>
      </c>
      <c r="T694" s="94">
        <v>3.0</v>
      </c>
      <c r="U694" s="96">
        <v>34500.0</v>
      </c>
      <c r="V694" s="97" t="s">
        <v>4806</v>
      </c>
      <c r="W694" s="97" t="s">
        <v>4807</v>
      </c>
      <c r="X694" s="79" t="s">
        <v>4808</v>
      </c>
      <c r="Y694" s="88"/>
      <c r="Z694" s="88"/>
      <c r="AA694" s="88"/>
      <c r="AB694" s="88"/>
      <c r="AC694" s="88"/>
      <c r="AD694" s="88"/>
      <c r="AE694" s="88"/>
      <c r="AF694" s="88"/>
      <c r="AG694" s="88"/>
      <c r="AH694" s="88"/>
      <c r="AI694" s="88"/>
      <c r="AJ694" s="88"/>
      <c r="AK694" s="88"/>
      <c r="AL694" s="88"/>
      <c r="AM694" s="88"/>
      <c r="AN694" s="88"/>
      <c r="AO694" s="88"/>
      <c r="AP694" s="88"/>
      <c r="AQ694" s="88"/>
      <c r="AR694" s="88"/>
    </row>
    <row r="695" ht="19.5" customHeight="1">
      <c r="A695" s="79">
        <v>684.0</v>
      </c>
      <c r="B695" s="80" t="s">
        <v>37</v>
      </c>
      <c r="C695" s="80" t="s">
        <v>4793</v>
      </c>
      <c r="D695" s="80" t="s">
        <v>4809</v>
      </c>
      <c r="E695" s="81" t="s">
        <v>4810</v>
      </c>
      <c r="F695" s="80" t="s">
        <v>81</v>
      </c>
      <c r="G695" s="80" t="s">
        <v>44</v>
      </c>
      <c r="H695" s="80" t="s">
        <v>21</v>
      </c>
      <c r="I695" s="80" t="s">
        <v>4796</v>
      </c>
      <c r="J695" s="80" t="s">
        <v>43</v>
      </c>
      <c r="K695" s="80" t="s">
        <v>4793</v>
      </c>
      <c r="L695" s="92" t="s">
        <v>4811</v>
      </c>
      <c r="M695" s="83">
        <f t="shared" si="1"/>
        <v>113</v>
      </c>
      <c r="N695" s="84">
        <v>113.0</v>
      </c>
      <c r="O695" s="84"/>
      <c r="P695" s="84"/>
      <c r="Q695" s="94">
        <v>1375.0</v>
      </c>
      <c r="R695" s="94">
        <v>532.74</v>
      </c>
      <c r="S695" s="95" t="s">
        <v>4812</v>
      </c>
      <c r="T695" s="94">
        <v>1.0</v>
      </c>
      <c r="U695" s="96">
        <v>45118.0</v>
      </c>
      <c r="V695" s="97" t="s">
        <v>4813</v>
      </c>
      <c r="W695" s="97" t="s">
        <v>4814</v>
      </c>
      <c r="X695" s="79" t="s">
        <v>4801</v>
      </c>
      <c r="Y695" s="88"/>
      <c r="Z695" s="88"/>
      <c r="AA695" s="88"/>
      <c r="AB695" s="88"/>
      <c r="AC695" s="88"/>
      <c r="AD695" s="88"/>
      <c r="AE695" s="88"/>
      <c r="AF695" s="88"/>
      <c r="AG695" s="88"/>
      <c r="AH695" s="88"/>
      <c r="AI695" s="88"/>
      <c r="AJ695" s="88"/>
      <c r="AK695" s="88"/>
      <c r="AL695" s="88"/>
      <c r="AM695" s="88"/>
      <c r="AN695" s="88"/>
      <c r="AO695" s="88"/>
      <c r="AP695" s="88"/>
      <c r="AQ695" s="88"/>
      <c r="AR695" s="88"/>
    </row>
    <row r="696" ht="19.5" customHeight="1">
      <c r="A696" s="79">
        <v>685.0</v>
      </c>
      <c r="B696" s="91" t="s">
        <v>37</v>
      </c>
      <c r="C696" s="91" t="s">
        <v>4815</v>
      </c>
      <c r="D696" s="91" t="s">
        <v>4816</v>
      </c>
      <c r="E696" s="92" t="s">
        <v>4817</v>
      </c>
      <c r="F696" s="91" t="s">
        <v>81</v>
      </c>
      <c r="G696" s="80" t="s">
        <v>42</v>
      </c>
      <c r="H696" s="80" t="s">
        <v>21</v>
      </c>
      <c r="I696" s="91" t="s">
        <v>4818</v>
      </c>
      <c r="J696" s="80" t="s">
        <v>43</v>
      </c>
      <c r="K696" s="91" t="s">
        <v>4815</v>
      </c>
      <c r="L696" s="92" t="s">
        <v>4819</v>
      </c>
      <c r="M696" s="83">
        <f t="shared" si="1"/>
        <v>375</v>
      </c>
      <c r="N696" s="84">
        <v>375.0</v>
      </c>
      <c r="O696" s="84"/>
      <c r="P696" s="84"/>
      <c r="Q696" s="94">
        <v>11766.0</v>
      </c>
      <c r="R696" s="94">
        <v>2970.0</v>
      </c>
      <c r="S696" s="95" t="s">
        <v>291</v>
      </c>
      <c r="T696" s="94">
        <v>1.0</v>
      </c>
      <c r="U696" s="96">
        <v>34700.0</v>
      </c>
      <c r="V696" s="97" t="s">
        <v>4820</v>
      </c>
      <c r="W696" s="97" t="s">
        <v>4821</v>
      </c>
      <c r="X696" s="79" t="s">
        <v>4822</v>
      </c>
      <c r="Y696" s="88"/>
      <c r="Z696" s="88"/>
      <c r="AA696" s="88"/>
      <c r="AB696" s="88"/>
      <c r="AC696" s="88"/>
      <c r="AD696" s="88"/>
      <c r="AE696" s="88"/>
      <c r="AF696" s="88"/>
      <c r="AG696" s="88"/>
      <c r="AH696" s="88"/>
      <c r="AI696" s="88"/>
      <c r="AJ696" s="88"/>
      <c r="AK696" s="88"/>
      <c r="AL696" s="88"/>
      <c r="AM696" s="88"/>
      <c r="AN696" s="88"/>
      <c r="AO696" s="88"/>
      <c r="AP696" s="88"/>
      <c r="AQ696" s="88"/>
      <c r="AR696" s="88"/>
    </row>
    <row r="697" ht="19.5" customHeight="1">
      <c r="A697" s="79">
        <v>686.0</v>
      </c>
      <c r="B697" s="91" t="s">
        <v>37</v>
      </c>
      <c r="C697" s="91" t="s">
        <v>4815</v>
      </c>
      <c r="D697" s="91" t="s">
        <v>4823</v>
      </c>
      <c r="E697" s="92" t="s">
        <v>4824</v>
      </c>
      <c r="F697" s="91" t="s">
        <v>22</v>
      </c>
      <c r="G697" s="80" t="s">
        <v>46</v>
      </c>
      <c r="H697" s="80" t="s">
        <v>22</v>
      </c>
      <c r="I697" s="91" t="s">
        <v>4825</v>
      </c>
      <c r="J697" s="80" t="s">
        <v>43</v>
      </c>
      <c r="K697" s="91"/>
      <c r="L697" s="92" t="s">
        <v>4826</v>
      </c>
      <c r="M697" s="83">
        <f t="shared" si="1"/>
        <v>908</v>
      </c>
      <c r="N697" s="84"/>
      <c r="O697" s="84">
        <v>708.0</v>
      </c>
      <c r="P697" s="84">
        <v>200.0</v>
      </c>
      <c r="Q697" s="94">
        <v>26604.0</v>
      </c>
      <c r="R697" s="94">
        <v>6581.0</v>
      </c>
      <c r="S697" s="95" t="s">
        <v>291</v>
      </c>
      <c r="T697" s="94">
        <v>37.0</v>
      </c>
      <c r="U697" s="96">
        <v>36321.0</v>
      </c>
      <c r="V697" s="97" t="s">
        <v>4827</v>
      </c>
      <c r="W697" s="97" t="s">
        <v>4828</v>
      </c>
      <c r="X697" s="79" t="s">
        <v>4829</v>
      </c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  <c r="AK697" s="59"/>
      <c r="AL697" s="59"/>
      <c r="AM697" s="59"/>
      <c r="AN697" s="59"/>
      <c r="AO697" s="59"/>
      <c r="AP697" s="59"/>
      <c r="AQ697" s="59"/>
      <c r="AR697" s="59"/>
    </row>
    <row r="698" ht="19.5" customHeight="1">
      <c r="A698" s="79">
        <v>687.0</v>
      </c>
      <c r="B698" s="91" t="s">
        <v>37</v>
      </c>
      <c r="C698" s="91" t="s">
        <v>4815</v>
      </c>
      <c r="D698" s="91" t="s">
        <v>4823</v>
      </c>
      <c r="E698" s="92" t="s">
        <v>4830</v>
      </c>
      <c r="F698" s="91" t="s">
        <v>22</v>
      </c>
      <c r="G698" s="80" t="s">
        <v>46</v>
      </c>
      <c r="H698" s="80" t="s">
        <v>22</v>
      </c>
      <c r="I698" s="91" t="s">
        <v>4831</v>
      </c>
      <c r="J698" s="80" t="s">
        <v>43</v>
      </c>
      <c r="K698" s="91"/>
      <c r="L698" s="92" t="s">
        <v>4832</v>
      </c>
      <c r="M698" s="83">
        <f t="shared" si="1"/>
        <v>348</v>
      </c>
      <c r="N698" s="84"/>
      <c r="O698" s="84">
        <v>348.0</v>
      </c>
      <c r="P698" s="84"/>
      <c r="Q698" s="94">
        <v>13925.0</v>
      </c>
      <c r="R698" s="94">
        <v>2595.0</v>
      </c>
      <c r="S698" s="95" t="s">
        <v>704</v>
      </c>
      <c r="T698" s="94">
        <v>8.0</v>
      </c>
      <c r="U698" s="96">
        <v>35217.0</v>
      </c>
      <c r="V698" s="97" t="s">
        <v>4833</v>
      </c>
      <c r="W698" s="97" t="s">
        <v>4834</v>
      </c>
      <c r="X698" s="79" t="s">
        <v>4835</v>
      </c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  <c r="AK698" s="59"/>
      <c r="AL698" s="59"/>
      <c r="AM698" s="59"/>
      <c r="AN698" s="59"/>
      <c r="AO698" s="59"/>
      <c r="AP698" s="59"/>
      <c r="AQ698" s="59"/>
      <c r="AR698" s="59"/>
    </row>
    <row r="699" ht="19.5" customHeight="1">
      <c r="A699" s="79">
        <v>688.0</v>
      </c>
      <c r="B699" s="91" t="s">
        <v>37</v>
      </c>
      <c r="C699" s="91" t="s">
        <v>4815</v>
      </c>
      <c r="D699" s="91" t="s">
        <v>4823</v>
      </c>
      <c r="E699" s="92" t="s">
        <v>4836</v>
      </c>
      <c r="F699" s="91" t="s">
        <v>81</v>
      </c>
      <c r="G699" s="80" t="s">
        <v>12</v>
      </c>
      <c r="H699" s="80" t="s">
        <v>21</v>
      </c>
      <c r="I699" s="91" t="s">
        <v>4818</v>
      </c>
      <c r="J699" s="80" t="s">
        <v>45</v>
      </c>
      <c r="K699" s="91" t="s">
        <v>4837</v>
      </c>
      <c r="L699" s="92" t="s">
        <v>4838</v>
      </c>
      <c r="M699" s="83">
        <f t="shared" si="1"/>
        <v>467</v>
      </c>
      <c r="N699" s="84"/>
      <c r="O699" s="84">
        <v>467.0</v>
      </c>
      <c r="P699" s="84"/>
      <c r="Q699" s="94">
        <v>35569.0</v>
      </c>
      <c r="R699" s="94">
        <v>3950.0</v>
      </c>
      <c r="S699" s="95" t="s">
        <v>291</v>
      </c>
      <c r="T699" s="94">
        <v>9.0</v>
      </c>
      <c r="U699" s="96">
        <v>34700.0</v>
      </c>
      <c r="V699" s="97" t="s">
        <v>4839</v>
      </c>
      <c r="W699" s="97" t="s">
        <v>4840</v>
      </c>
      <c r="X699" s="79" t="s">
        <v>40</v>
      </c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  <c r="AK699" s="59"/>
      <c r="AL699" s="59"/>
      <c r="AM699" s="59"/>
      <c r="AN699" s="59"/>
      <c r="AO699" s="59"/>
      <c r="AP699" s="59"/>
      <c r="AQ699" s="59"/>
      <c r="AR699" s="59"/>
    </row>
    <row r="700" ht="19.5" customHeight="1">
      <c r="A700" s="79">
        <v>689.0</v>
      </c>
      <c r="B700" s="91" t="s">
        <v>37</v>
      </c>
      <c r="C700" s="91" t="s">
        <v>4815</v>
      </c>
      <c r="D700" s="91" t="s">
        <v>4841</v>
      </c>
      <c r="E700" s="92" t="s">
        <v>4842</v>
      </c>
      <c r="F700" s="91" t="s">
        <v>22</v>
      </c>
      <c r="G700" s="80" t="s">
        <v>12</v>
      </c>
      <c r="H700" s="80" t="s">
        <v>22</v>
      </c>
      <c r="I700" s="91" t="s">
        <v>4843</v>
      </c>
      <c r="J700" s="80" t="s">
        <v>43</v>
      </c>
      <c r="K700" s="91"/>
      <c r="L700" s="92" t="s">
        <v>4844</v>
      </c>
      <c r="M700" s="83">
        <f t="shared" si="1"/>
        <v>496</v>
      </c>
      <c r="N700" s="84"/>
      <c r="O700" s="84">
        <v>496.0</v>
      </c>
      <c r="P700" s="84"/>
      <c r="Q700" s="94">
        <v>2631.0</v>
      </c>
      <c r="R700" s="94">
        <v>2971.0</v>
      </c>
      <c r="S700" s="95" t="s">
        <v>194</v>
      </c>
      <c r="T700" s="94">
        <v>1.0</v>
      </c>
      <c r="U700" s="96">
        <v>37841.0</v>
      </c>
      <c r="V700" s="97" t="s">
        <v>4845</v>
      </c>
      <c r="W700" s="97" t="s">
        <v>4846</v>
      </c>
      <c r="X700" s="79" t="s">
        <v>4847</v>
      </c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  <c r="AK700" s="59"/>
      <c r="AL700" s="59"/>
      <c r="AM700" s="59"/>
      <c r="AN700" s="59"/>
      <c r="AO700" s="59"/>
      <c r="AP700" s="59"/>
      <c r="AQ700" s="59"/>
      <c r="AR700" s="59"/>
    </row>
    <row r="701" ht="19.5" customHeight="1">
      <c r="A701" s="79">
        <v>690.0</v>
      </c>
      <c r="B701" s="91" t="s">
        <v>37</v>
      </c>
      <c r="C701" s="91" t="s">
        <v>4815</v>
      </c>
      <c r="D701" s="91" t="s">
        <v>4841</v>
      </c>
      <c r="E701" s="92" t="s">
        <v>4848</v>
      </c>
      <c r="F701" s="91" t="s">
        <v>22</v>
      </c>
      <c r="G701" s="80" t="s">
        <v>12</v>
      </c>
      <c r="H701" s="80" t="s">
        <v>22</v>
      </c>
      <c r="I701" s="91" t="s">
        <v>4849</v>
      </c>
      <c r="J701" s="80" t="s">
        <v>43</v>
      </c>
      <c r="K701" s="91"/>
      <c r="L701" s="92" t="s">
        <v>4850</v>
      </c>
      <c r="M701" s="83">
        <f t="shared" si="1"/>
        <v>473</v>
      </c>
      <c r="N701" s="84"/>
      <c r="O701" s="84">
        <v>473.0</v>
      </c>
      <c r="P701" s="84"/>
      <c r="Q701" s="94">
        <v>1596.0</v>
      </c>
      <c r="R701" s="94">
        <v>2485.0</v>
      </c>
      <c r="S701" s="95" t="s">
        <v>291</v>
      </c>
      <c r="T701" s="94">
        <v>1.0</v>
      </c>
      <c r="U701" s="96">
        <v>35536.0</v>
      </c>
      <c r="V701" s="97" t="s">
        <v>4851</v>
      </c>
      <c r="W701" s="97" t="s">
        <v>4852</v>
      </c>
      <c r="X701" s="79" t="s">
        <v>4853</v>
      </c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  <c r="AK701" s="59"/>
      <c r="AL701" s="59"/>
      <c r="AM701" s="59"/>
      <c r="AN701" s="59"/>
      <c r="AO701" s="59"/>
      <c r="AP701" s="59"/>
      <c r="AQ701" s="59"/>
      <c r="AR701" s="59"/>
    </row>
    <row r="702" ht="19.5" customHeight="1">
      <c r="A702" s="79">
        <v>691.0</v>
      </c>
      <c r="B702" s="91" t="s">
        <v>37</v>
      </c>
      <c r="C702" s="91" t="s">
        <v>4815</v>
      </c>
      <c r="D702" s="91" t="s">
        <v>4841</v>
      </c>
      <c r="E702" s="92" t="s">
        <v>4854</v>
      </c>
      <c r="F702" s="91" t="s">
        <v>22</v>
      </c>
      <c r="G702" s="80" t="s">
        <v>12</v>
      </c>
      <c r="H702" s="80" t="s">
        <v>22</v>
      </c>
      <c r="I702" s="91" t="s">
        <v>4855</v>
      </c>
      <c r="J702" s="80" t="s">
        <v>43</v>
      </c>
      <c r="K702" s="91"/>
      <c r="L702" s="92" t="s">
        <v>4856</v>
      </c>
      <c r="M702" s="83">
        <f t="shared" si="1"/>
        <v>498</v>
      </c>
      <c r="N702" s="84"/>
      <c r="O702" s="84">
        <v>498.0</v>
      </c>
      <c r="P702" s="84"/>
      <c r="Q702" s="94">
        <v>1957.0</v>
      </c>
      <c r="R702" s="94">
        <v>2651.0</v>
      </c>
      <c r="S702" s="95" t="s">
        <v>103</v>
      </c>
      <c r="T702" s="94">
        <v>1.0</v>
      </c>
      <c r="U702" s="96">
        <v>38072.0</v>
      </c>
      <c r="V702" s="97" t="s">
        <v>4857</v>
      </c>
      <c r="W702" s="97" t="s">
        <v>4858</v>
      </c>
      <c r="X702" s="7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  <c r="AK702" s="59"/>
      <c r="AL702" s="59"/>
      <c r="AM702" s="59"/>
      <c r="AN702" s="59"/>
      <c r="AO702" s="59"/>
      <c r="AP702" s="59"/>
      <c r="AQ702" s="59"/>
      <c r="AR702" s="59"/>
    </row>
    <row r="703" ht="19.5" customHeight="1">
      <c r="A703" s="79">
        <v>692.0</v>
      </c>
      <c r="B703" s="91" t="s">
        <v>37</v>
      </c>
      <c r="C703" s="91" t="s">
        <v>4815</v>
      </c>
      <c r="D703" s="91" t="s">
        <v>4841</v>
      </c>
      <c r="E703" s="92" t="s">
        <v>4859</v>
      </c>
      <c r="F703" s="91" t="s">
        <v>22</v>
      </c>
      <c r="G703" s="80" t="s">
        <v>12</v>
      </c>
      <c r="H703" s="80" t="s">
        <v>22</v>
      </c>
      <c r="I703" s="91" t="s">
        <v>4860</v>
      </c>
      <c r="J703" s="80" t="s">
        <v>43</v>
      </c>
      <c r="K703" s="95"/>
      <c r="L703" s="92" t="s">
        <v>4861</v>
      </c>
      <c r="M703" s="83">
        <f t="shared" si="1"/>
        <v>563</v>
      </c>
      <c r="N703" s="84"/>
      <c r="O703" s="84">
        <v>563.0</v>
      </c>
      <c r="P703" s="84"/>
      <c r="Q703" s="94">
        <v>2163.0</v>
      </c>
      <c r="R703" s="94">
        <v>3255.0</v>
      </c>
      <c r="S703" s="95" t="s">
        <v>194</v>
      </c>
      <c r="T703" s="94">
        <v>1.0</v>
      </c>
      <c r="U703" s="96">
        <v>38402.0</v>
      </c>
      <c r="V703" s="97" t="s">
        <v>4862</v>
      </c>
      <c r="W703" s="97"/>
      <c r="X703" s="79" t="s">
        <v>4863</v>
      </c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  <c r="AK703" s="59"/>
      <c r="AL703" s="59"/>
      <c r="AM703" s="59"/>
      <c r="AN703" s="59"/>
      <c r="AO703" s="59"/>
      <c r="AP703" s="59"/>
      <c r="AQ703" s="59"/>
      <c r="AR703" s="59"/>
    </row>
    <row r="704" ht="19.5" customHeight="1">
      <c r="A704" s="79">
        <v>693.0</v>
      </c>
      <c r="B704" s="91" t="s">
        <v>37</v>
      </c>
      <c r="C704" s="91" t="s">
        <v>4815</v>
      </c>
      <c r="D704" s="91" t="s">
        <v>4841</v>
      </c>
      <c r="E704" s="92" t="s">
        <v>4864</v>
      </c>
      <c r="F704" s="91" t="s">
        <v>22</v>
      </c>
      <c r="G704" s="80" t="s">
        <v>12</v>
      </c>
      <c r="H704" s="80" t="s">
        <v>22</v>
      </c>
      <c r="I704" s="91" t="s">
        <v>4865</v>
      </c>
      <c r="J704" s="80" t="s">
        <v>43</v>
      </c>
      <c r="K704" s="91"/>
      <c r="L704" s="92" t="s">
        <v>4866</v>
      </c>
      <c r="M704" s="83">
        <f t="shared" si="1"/>
        <v>300</v>
      </c>
      <c r="N704" s="84"/>
      <c r="O704" s="84">
        <v>300.0</v>
      </c>
      <c r="P704" s="84"/>
      <c r="Q704" s="94">
        <v>2187.0</v>
      </c>
      <c r="R704" s="94">
        <v>3834.0</v>
      </c>
      <c r="S704" s="95" t="s">
        <v>194</v>
      </c>
      <c r="T704" s="94">
        <v>1.0</v>
      </c>
      <c r="U704" s="96">
        <v>40351.0</v>
      </c>
      <c r="V704" s="97" t="s">
        <v>4867</v>
      </c>
      <c r="W704" s="97" t="s">
        <v>4868</v>
      </c>
      <c r="X704" s="79" t="s">
        <v>4869</v>
      </c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  <c r="AK704" s="59"/>
      <c r="AL704" s="59"/>
      <c r="AM704" s="59"/>
      <c r="AN704" s="59"/>
      <c r="AO704" s="59"/>
      <c r="AP704" s="59"/>
      <c r="AQ704" s="59"/>
      <c r="AR704" s="59"/>
    </row>
    <row r="705" ht="19.5" customHeight="1">
      <c r="A705" s="79">
        <v>694.0</v>
      </c>
      <c r="B705" s="91" t="s">
        <v>37</v>
      </c>
      <c r="C705" s="91" t="s">
        <v>4815</v>
      </c>
      <c r="D705" s="91" t="s">
        <v>4841</v>
      </c>
      <c r="E705" s="92" t="s">
        <v>4870</v>
      </c>
      <c r="F705" s="91" t="s">
        <v>22</v>
      </c>
      <c r="G705" s="80" t="s">
        <v>12</v>
      </c>
      <c r="H705" s="80" t="s">
        <v>22</v>
      </c>
      <c r="I705" s="91" t="s">
        <v>4871</v>
      </c>
      <c r="J705" s="80" t="s">
        <v>43</v>
      </c>
      <c r="K705" s="91"/>
      <c r="L705" s="92" t="s">
        <v>4872</v>
      </c>
      <c r="M705" s="83">
        <f t="shared" si="1"/>
        <v>481</v>
      </c>
      <c r="N705" s="84"/>
      <c r="O705" s="84">
        <v>481.0</v>
      </c>
      <c r="P705" s="84"/>
      <c r="Q705" s="94">
        <v>1679.0</v>
      </c>
      <c r="R705" s="94">
        <v>2591.0</v>
      </c>
      <c r="S705" s="95" t="s">
        <v>194</v>
      </c>
      <c r="T705" s="94">
        <v>1.0</v>
      </c>
      <c r="U705" s="96">
        <v>39618.0</v>
      </c>
      <c r="V705" s="97" t="s">
        <v>4873</v>
      </c>
      <c r="W705" s="97" t="s">
        <v>4874</v>
      </c>
      <c r="X705" s="79" t="s">
        <v>4875</v>
      </c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  <c r="AK705" s="59"/>
      <c r="AL705" s="59"/>
      <c r="AM705" s="59"/>
      <c r="AN705" s="59"/>
      <c r="AO705" s="59"/>
      <c r="AP705" s="59"/>
      <c r="AQ705" s="59"/>
      <c r="AR705" s="59"/>
    </row>
    <row r="706" ht="19.5" customHeight="1">
      <c r="A706" s="79">
        <v>695.0</v>
      </c>
      <c r="B706" s="91" t="s">
        <v>37</v>
      </c>
      <c r="C706" s="91" t="s">
        <v>4815</v>
      </c>
      <c r="D706" s="91" t="s">
        <v>4841</v>
      </c>
      <c r="E706" s="92" t="s">
        <v>4876</v>
      </c>
      <c r="F706" s="91" t="s">
        <v>22</v>
      </c>
      <c r="G706" s="80" t="s">
        <v>12</v>
      </c>
      <c r="H706" s="80" t="s">
        <v>22</v>
      </c>
      <c r="I706" s="91" t="s">
        <v>4877</v>
      </c>
      <c r="J706" s="80" t="s">
        <v>43</v>
      </c>
      <c r="K706" s="91"/>
      <c r="L706" s="92" t="s">
        <v>4878</v>
      </c>
      <c r="M706" s="83">
        <f t="shared" si="1"/>
        <v>275</v>
      </c>
      <c r="N706" s="84"/>
      <c r="O706" s="84">
        <v>275.0</v>
      </c>
      <c r="P706" s="84"/>
      <c r="Q706" s="94">
        <v>2092.0</v>
      </c>
      <c r="R706" s="94">
        <v>2029.0</v>
      </c>
      <c r="S706" s="95" t="s">
        <v>103</v>
      </c>
      <c r="T706" s="94">
        <v>1.0</v>
      </c>
      <c r="U706" s="96">
        <v>41374.0</v>
      </c>
      <c r="V706" s="97" t="s">
        <v>4879</v>
      </c>
      <c r="W706" s="97" t="s">
        <v>4880</v>
      </c>
      <c r="X706" s="7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  <c r="AK706" s="59"/>
      <c r="AL706" s="59"/>
      <c r="AM706" s="59"/>
      <c r="AN706" s="59"/>
      <c r="AO706" s="59"/>
      <c r="AP706" s="59"/>
      <c r="AQ706" s="59"/>
      <c r="AR706" s="59"/>
    </row>
    <row r="707" ht="19.5" customHeight="1">
      <c r="A707" s="79">
        <v>696.0</v>
      </c>
      <c r="B707" s="91" t="s">
        <v>37</v>
      </c>
      <c r="C707" s="91" t="s">
        <v>4815</v>
      </c>
      <c r="D707" s="91" t="s">
        <v>4881</v>
      </c>
      <c r="E707" s="92" t="s">
        <v>4882</v>
      </c>
      <c r="F707" s="91" t="s">
        <v>81</v>
      </c>
      <c r="G707" s="80" t="s">
        <v>46</v>
      </c>
      <c r="H707" s="80" t="s">
        <v>21</v>
      </c>
      <c r="I707" s="91" t="s">
        <v>4818</v>
      </c>
      <c r="J707" s="80" t="s">
        <v>43</v>
      </c>
      <c r="K707" s="91" t="s">
        <v>4815</v>
      </c>
      <c r="L707" s="92" t="s">
        <v>4883</v>
      </c>
      <c r="M707" s="83">
        <f t="shared" si="1"/>
        <v>611</v>
      </c>
      <c r="N707" s="84"/>
      <c r="O707" s="84">
        <v>427.0</v>
      </c>
      <c r="P707" s="84">
        <v>184.0</v>
      </c>
      <c r="Q707" s="94">
        <v>286460.0</v>
      </c>
      <c r="R707" s="94">
        <v>19605.0</v>
      </c>
      <c r="S707" s="95" t="s">
        <v>4884</v>
      </c>
      <c r="T707" s="94">
        <v>24.0</v>
      </c>
      <c r="U707" s="96">
        <v>43294.0</v>
      </c>
      <c r="V707" s="97" t="s">
        <v>4885</v>
      </c>
      <c r="W707" s="97" t="s">
        <v>4886</v>
      </c>
      <c r="X707" s="79" t="s">
        <v>4887</v>
      </c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  <c r="AK707" s="59"/>
      <c r="AL707" s="59"/>
      <c r="AM707" s="59"/>
      <c r="AN707" s="59"/>
      <c r="AO707" s="59"/>
      <c r="AP707" s="59"/>
      <c r="AQ707" s="59"/>
      <c r="AR707" s="59"/>
    </row>
    <row r="708" ht="19.5" customHeight="1">
      <c r="A708" s="79">
        <v>697.0</v>
      </c>
      <c r="B708" s="91" t="s">
        <v>37</v>
      </c>
      <c r="C708" s="91" t="s">
        <v>4815</v>
      </c>
      <c r="D708" s="91" t="s">
        <v>4888</v>
      </c>
      <c r="E708" s="92" t="s">
        <v>4889</v>
      </c>
      <c r="F708" s="91" t="s">
        <v>81</v>
      </c>
      <c r="G708" s="80" t="s">
        <v>44</v>
      </c>
      <c r="H708" s="80" t="s">
        <v>21</v>
      </c>
      <c r="I708" s="91" t="s">
        <v>4818</v>
      </c>
      <c r="J708" s="80" t="s">
        <v>43</v>
      </c>
      <c r="K708" s="91" t="s">
        <v>4815</v>
      </c>
      <c r="L708" s="92" t="s">
        <v>4890</v>
      </c>
      <c r="M708" s="83">
        <f t="shared" si="1"/>
        <v>180</v>
      </c>
      <c r="N708" s="84">
        <v>180.0</v>
      </c>
      <c r="O708" s="84"/>
      <c r="P708" s="84"/>
      <c r="Q708" s="94">
        <v>3665.0</v>
      </c>
      <c r="R708" s="94">
        <v>1547.0</v>
      </c>
      <c r="S708" s="95" t="s">
        <v>314</v>
      </c>
      <c r="T708" s="94">
        <v>1.0</v>
      </c>
      <c r="U708" s="96">
        <v>43503.0</v>
      </c>
      <c r="V708" s="97" t="s">
        <v>4891</v>
      </c>
      <c r="W708" s="97" t="s">
        <v>4821</v>
      </c>
      <c r="X708" s="79" t="s">
        <v>4892</v>
      </c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  <c r="AK708" s="59"/>
      <c r="AL708" s="59"/>
      <c r="AM708" s="59"/>
      <c r="AN708" s="59"/>
      <c r="AO708" s="59"/>
      <c r="AP708" s="59"/>
      <c r="AQ708" s="59"/>
      <c r="AR708" s="59"/>
    </row>
    <row r="709" ht="19.5" customHeight="1">
      <c r="A709" s="79">
        <v>698.0</v>
      </c>
      <c r="B709" s="95" t="s">
        <v>37</v>
      </c>
      <c r="C709" s="95" t="s">
        <v>4893</v>
      </c>
      <c r="D709" s="95" t="s">
        <v>4894</v>
      </c>
      <c r="E709" s="100" t="s">
        <v>4895</v>
      </c>
      <c r="F709" s="95" t="s">
        <v>687</v>
      </c>
      <c r="G709" s="80" t="s">
        <v>44</v>
      </c>
      <c r="H709" s="80" t="s">
        <v>21</v>
      </c>
      <c r="I709" s="95" t="s">
        <v>4896</v>
      </c>
      <c r="J709" s="80" t="s">
        <v>43</v>
      </c>
      <c r="K709" s="95" t="s">
        <v>4893</v>
      </c>
      <c r="L709" s="92" t="s">
        <v>4897</v>
      </c>
      <c r="M709" s="83">
        <f t="shared" si="1"/>
        <v>136</v>
      </c>
      <c r="N709" s="84">
        <v>136.0</v>
      </c>
      <c r="O709" s="84"/>
      <c r="P709" s="84"/>
      <c r="Q709" s="94">
        <v>35123.0</v>
      </c>
      <c r="R709" s="94">
        <v>706.0</v>
      </c>
      <c r="S709" s="95" t="s">
        <v>103</v>
      </c>
      <c r="T709" s="94">
        <v>1.0</v>
      </c>
      <c r="U709" s="96">
        <v>42206.0</v>
      </c>
      <c r="V709" s="97" t="s">
        <v>4898</v>
      </c>
      <c r="W709" s="97" t="s">
        <v>4899</v>
      </c>
      <c r="X709" s="79" t="s">
        <v>4900</v>
      </c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  <c r="AK709" s="59"/>
      <c r="AL709" s="59"/>
      <c r="AM709" s="59"/>
      <c r="AN709" s="59"/>
      <c r="AO709" s="59"/>
      <c r="AP709" s="59"/>
      <c r="AQ709" s="59"/>
      <c r="AR709" s="59"/>
    </row>
    <row r="710" ht="19.5" customHeight="1">
      <c r="A710" s="79">
        <v>699.0</v>
      </c>
      <c r="B710" s="95" t="s">
        <v>37</v>
      </c>
      <c r="C710" s="95" t="s">
        <v>4901</v>
      </c>
      <c r="D710" s="95" t="s">
        <v>4902</v>
      </c>
      <c r="E710" s="100" t="s">
        <v>4903</v>
      </c>
      <c r="F710" s="95" t="s">
        <v>81</v>
      </c>
      <c r="G710" s="80" t="s">
        <v>44</v>
      </c>
      <c r="H710" s="80" t="s">
        <v>21</v>
      </c>
      <c r="I710" s="95" t="s">
        <v>4904</v>
      </c>
      <c r="J710" s="80" t="s">
        <v>43</v>
      </c>
      <c r="K710" s="95" t="s">
        <v>4901</v>
      </c>
      <c r="L710" s="92" t="s">
        <v>4905</v>
      </c>
      <c r="M710" s="83">
        <f t="shared" si="1"/>
        <v>0</v>
      </c>
      <c r="N710" s="84"/>
      <c r="O710" s="84"/>
      <c r="P710" s="84">
        <v>0.0</v>
      </c>
      <c r="Q710" s="94">
        <v>590.88</v>
      </c>
      <c r="R710" s="94">
        <v>1235.01</v>
      </c>
      <c r="S710" s="95" t="s">
        <v>1650</v>
      </c>
      <c r="T710" s="94">
        <v>1.0</v>
      </c>
      <c r="U710" s="96">
        <v>36593.0</v>
      </c>
      <c r="V710" s="97" t="s">
        <v>4906</v>
      </c>
      <c r="W710" s="97" t="s">
        <v>4907</v>
      </c>
      <c r="X710" s="79" t="s">
        <v>4908</v>
      </c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  <c r="AK710" s="59"/>
      <c r="AL710" s="59"/>
      <c r="AM710" s="59"/>
      <c r="AN710" s="59"/>
      <c r="AO710" s="59"/>
      <c r="AP710" s="59"/>
      <c r="AQ710" s="59"/>
      <c r="AR710" s="59"/>
    </row>
    <row r="711" ht="19.5" customHeight="1">
      <c r="A711" s="79">
        <v>700.0</v>
      </c>
      <c r="B711" s="80" t="s">
        <v>37</v>
      </c>
      <c r="C711" s="80" t="s">
        <v>4901</v>
      </c>
      <c r="D711" s="80" t="s">
        <v>4909</v>
      </c>
      <c r="E711" s="81" t="s">
        <v>4910</v>
      </c>
      <c r="F711" s="80" t="s">
        <v>81</v>
      </c>
      <c r="G711" s="80" t="s">
        <v>42</v>
      </c>
      <c r="H711" s="80" t="s">
        <v>21</v>
      </c>
      <c r="I711" s="80" t="s">
        <v>4904</v>
      </c>
      <c r="J711" s="80" t="s">
        <v>45</v>
      </c>
      <c r="K711" s="80" t="s">
        <v>933</v>
      </c>
      <c r="L711" s="92" t="s">
        <v>4911</v>
      </c>
      <c r="M711" s="83">
        <f t="shared" si="1"/>
        <v>382</v>
      </c>
      <c r="N711" s="84"/>
      <c r="O711" s="84">
        <v>382.0</v>
      </c>
      <c r="P711" s="84"/>
      <c r="Q711" s="94">
        <v>16074.0</v>
      </c>
      <c r="R711" s="94">
        <v>12956.42</v>
      </c>
      <c r="S711" s="95" t="s">
        <v>1853</v>
      </c>
      <c r="T711" s="94">
        <v>3.0</v>
      </c>
      <c r="U711" s="96">
        <v>40765.0</v>
      </c>
      <c r="V711" s="97" t="s">
        <v>4912</v>
      </c>
      <c r="W711" s="97" t="s">
        <v>4913</v>
      </c>
      <c r="X711" s="79" t="s">
        <v>4914</v>
      </c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  <c r="AK711" s="59"/>
      <c r="AL711" s="59"/>
      <c r="AM711" s="59"/>
      <c r="AN711" s="59"/>
      <c r="AO711" s="59"/>
      <c r="AP711" s="59"/>
      <c r="AQ711" s="59"/>
      <c r="AR711" s="59"/>
    </row>
    <row r="712" ht="19.5" customHeight="1">
      <c r="A712" s="79">
        <v>701.0</v>
      </c>
      <c r="B712" s="91" t="s">
        <v>37</v>
      </c>
      <c r="C712" s="91" t="s">
        <v>4901</v>
      </c>
      <c r="D712" s="91" t="s">
        <v>4915</v>
      </c>
      <c r="E712" s="92" t="s">
        <v>4916</v>
      </c>
      <c r="F712" s="91" t="s">
        <v>81</v>
      </c>
      <c r="G712" s="80" t="s">
        <v>44</v>
      </c>
      <c r="H712" s="80" t="s">
        <v>21</v>
      </c>
      <c r="I712" s="91" t="s">
        <v>4904</v>
      </c>
      <c r="J712" s="80" t="s">
        <v>45</v>
      </c>
      <c r="K712" s="79" t="s">
        <v>933</v>
      </c>
      <c r="L712" s="93" t="s">
        <v>4917</v>
      </c>
      <c r="M712" s="83">
        <f t="shared" si="1"/>
        <v>300</v>
      </c>
      <c r="N712" s="84">
        <v>300.0</v>
      </c>
      <c r="O712" s="84"/>
      <c r="P712" s="84"/>
      <c r="Q712" s="94">
        <v>61079.9</v>
      </c>
      <c r="R712" s="94">
        <v>3685.96</v>
      </c>
      <c r="S712" s="95" t="s">
        <v>217</v>
      </c>
      <c r="T712" s="94">
        <v>1.0</v>
      </c>
      <c r="U712" s="96">
        <v>44910.0</v>
      </c>
      <c r="V712" s="97" t="s">
        <v>4918</v>
      </c>
      <c r="W712" s="97" t="s">
        <v>4919</v>
      </c>
      <c r="X712" s="79" t="s">
        <v>4920</v>
      </c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  <c r="AK712" s="59"/>
      <c r="AL712" s="59"/>
      <c r="AM712" s="59"/>
      <c r="AN712" s="59"/>
      <c r="AO712" s="59"/>
      <c r="AP712" s="59"/>
      <c r="AQ712" s="59"/>
      <c r="AR712" s="59"/>
    </row>
    <row r="713" ht="19.5" customHeight="1">
      <c r="A713" s="79">
        <v>702.0</v>
      </c>
      <c r="B713" s="95" t="s">
        <v>37</v>
      </c>
      <c r="C713" s="95" t="s">
        <v>4921</v>
      </c>
      <c r="D713" s="95" t="s">
        <v>4922</v>
      </c>
      <c r="E713" s="100" t="s">
        <v>4923</v>
      </c>
      <c r="F713" s="95" t="s">
        <v>81</v>
      </c>
      <c r="G713" s="80" t="s">
        <v>44</v>
      </c>
      <c r="H713" s="80" t="s">
        <v>21</v>
      </c>
      <c r="I713" s="95" t="s">
        <v>4924</v>
      </c>
      <c r="J713" s="80" t="s">
        <v>43</v>
      </c>
      <c r="K713" s="95" t="s">
        <v>4921</v>
      </c>
      <c r="L713" s="92" t="s">
        <v>4925</v>
      </c>
      <c r="M713" s="83">
        <f t="shared" si="1"/>
        <v>217</v>
      </c>
      <c r="N713" s="84">
        <v>217.0</v>
      </c>
      <c r="O713" s="84">
        <v>0.0</v>
      </c>
      <c r="P713" s="84">
        <v>0.0</v>
      </c>
      <c r="Q713" s="94">
        <v>42224.0</v>
      </c>
      <c r="R713" s="94">
        <v>2438.3</v>
      </c>
      <c r="S713" s="95" t="s">
        <v>314</v>
      </c>
      <c r="T713" s="94">
        <v>1.0</v>
      </c>
      <c r="U713" s="96" t="s">
        <v>4926</v>
      </c>
      <c r="V713" s="97" t="s">
        <v>4927</v>
      </c>
      <c r="W713" s="97" t="s">
        <v>4928</v>
      </c>
      <c r="X713" s="79" t="s">
        <v>4929</v>
      </c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  <c r="AK713" s="59"/>
      <c r="AL713" s="59"/>
      <c r="AM713" s="59"/>
      <c r="AN713" s="59"/>
      <c r="AO713" s="59"/>
      <c r="AP713" s="59"/>
      <c r="AQ713" s="59"/>
      <c r="AR713" s="59"/>
    </row>
    <row r="714" ht="19.5" customHeight="1">
      <c r="A714" s="79">
        <v>703.0</v>
      </c>
      <c r="B714" s="80" t="s">
        <v>37</v>
      </c>
      <c r="C714" s="80" t="s">
        <v>4921</v>
      </c>
      <c r="D714" s="80" t="s">
        <v>4930</v>
      </c>
      <c r="E714" s="81" t="s">
        <v>4931</v>
      </c>
      <c r="F714" s="80" t="s">
        <v>1807</v>
      </c>
      <c r="G714" s="80" t="s">
        <v>46</v>
      </c>
      <c r="H714" s="80" t="s">
        <v>21</v>
      </c>
      <c r="I714" s="80" t="s">
        <v>4932</v>
      </c>
      <c r="J714" s="80" t="s">
        <v>45</v>
      </c>
      <c r="K714" s="80" t="s">
        <v>4933</v>
      </c>
      <c r="L714" s="92" t="s">
        <v>4934</v>
      </c>
      <c r="M714" s="83">
        <f t="shared" si="1"/>
        <v>552</v>
      </c>
      <c r="N714" s="84">
        <v>0.0</v>
      </c>
      <c r="O714" s="84">
        <v>552.0</v>
      </c>
      <c r="P714" s="84">
        <v>0.0</v>
      </c>
      <c r="Q714" s="94">
        <v>87405.0</v>
      </c>
      <c r="R714" s="94">
        <v>11168.0</v>
      </c>
      <c r="S714" s="95" t="s">
        <v>103</v>
      </c>
      <c r="T714" s="94">
        <v>7.0</v>
      </c>
      <c r="U714" s="96">
        <v>37449.0</v>
      </c>
      <c r="V714" s="97" t="s">
        <v>4935</v>
      </c>
      <c r="W714" s="97" t="s">
        <v>4936</v>
      </c>
      <c r="X714" s="79" t="s">
        <v>4937</v>
      </c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  <c r="AK714" s="59"/>
      <c r="AL714" s="59"/>
      <c r="AM714" s="59"/>
      <c r="AN714" s="59"/>
      <c r="AO714" s="59"/>
      <c r="AP714" s="59"/>
      <c r="AQ714" s="59"/>
      <c r="AR714" s="59"/>
    </row>
    <row r="715" ht="19.5" customHeight="1">
      <c r="A715" s="79">
        <v>704.0</v>
      </c>
      <c r="B715" s="80" t="s">
        <v>37</v>
      </c>
      <c r="C715" s="80" t="s">
        <v>4938</v>
      </c>
      <c r="D715" s="80" t="s">
        <v>4939</v>
      </c>
      <c r="E715" s="81" t="s">
        <v>4940</v>
      </c>
      <c r="F715" s="80" t="s">
        <v>81</v>
      </c>
      <c r="G715" s="80" t="s">
        <v>44</v>
      </c>
      <c r="H715" s="80" t="s">
        <v>21</v>
      </c>
      <c r="I715" s="80" t="s">
        <v>4941</v>
      </c>
      <c r="J715" s="80" t="s">
        <v>43</v>
      </c>
      <c r="K715" s="80" t="s">
        <v>4938</v>
      </c>
      <c r="L715" s="92" t="s">
        <v>4942</v>
      </c>
      <c r="M715" s="83">
        <f t="shared" si="1"/>
        <v>150</v>
      </c>
      <c r="N715" s="84">
        <v>150.0</v>
      </c>
      <c r="O715" s="84"/>
      <c r="P715" s="84"/>
      <c r="Q715" s="94">
        <v>1856.0</v>
      </c>
      <c r="R715" s="94">
        <v>1956.0</v>
      </c>
      <c r="S715" s="95" t="s">
        <v>314</v>
      </c>
      <c r="T715" s="94">
        <v>1.0</v>
      </c>
      <c r="U715" s="96">
        <v>37078.0</v>
      </c>
      <c r="V715" s="97" t="s">
        <v>4943</v>
      </c>
      <c r="W715" s="97" t="s">
        <v>4944</v>
      </c>
      <c r="X715" s="79" t="s">
        <v>4945</v>
      </c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  <c r="AK715" s="59"/>
      <c r="AL715" s="59"/>
      <c r="AM715" s="59"/>
      <c r="AN715" s="59"/>
      <c r="AO715" s="59"/>
      <c r="AP715" s="59"/>
      <c r="AQ715" s="59"/>
      <c r="AR715" s="59"/>
    </row>
    <row r="716" ht="19.5" customHeight="1">
      <c r="A716" s="79">
        <v>705.0</v>
      </c>
      <c r="B716" s="80" t="s">
        <v>37</v>
      </c>
      <c r="C716" s="80" t="s">
        <v>4938</v>
      </c>
      <c r="D716" s="80" t="s">
        <v>4946</v>
      </c>
      <c r="E716" s="81" t="s">
        <v>4947</v>
      </c>
      <c r="F716" s="80" t="s">
        <v>81</v>
      </c>
      <c r="G716" s="80" t="s">
        <v>42</v>
      </c>
      <c r="H716" s="80" t="s">
        <v>21</v>
      </c>
      <c r="I716" s="80" t="s">
        <v>4941</v>
      </c>
      <c r="J716" s="80" t="s">
        <v>45</v>
      </c>
      <c r="K716" s="80" t="s">
        <v>4948</v>
      </c>
      <c r="L716" s="92" t="s">
        <v>4949</v>
      </c>
      <c r="M716" s="83">
        <f t="shared" si="1"/>
        <v>180</v>
      </c>
      <c r="N716" s="84"/>
      <c r="O716" s="84">
        <v>180.0</v>
      </c>
      <c r="P716" s="84"/>
      <c r="Q716" s="94">
        <v>8479.0</v>
      </c>
      <c r="R716" s="94">
        <v>2646.0</v>
      </c>
      <c r="S716" s="95" t="s">
        <v>291</v>
      </c>
      <c r="T716" s="94">
        <v>1.0</v>
      </c>
      <c r="U716" s="96">
        <v>35774.0</v>
      </c>
      <c r="V716" s="97" t="s">
        <v>4950</v>
      </c>
      <c r="W716" s="97" t="s">
        <v>4951</v>
      </c>
      <c r="X716" s="79" t="s">
        <v>4952</v>
      </c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  <c r="AK716" s="59"/>
      <c r="AL716" s="59"/>
      <c r="AM716" s="59"/>
      <c r="AN716" s="59"/>
      <c r="AO716" s="59"/>
      <c r="AP716" s="59"/>
      <c r="AQ716" s="59"/>
      <c r="AR716" s="59"/>
    </row>
    <row r="717" ht="19.5" customHeight="1">
      <c r="A717" s="79">
        <v>706.0</v>
      </c>
      <c r="B717" s="80" t="s">
        <v>37</v>
      </c>
      <c r="C717" s="80" t="s">
        <v>4938</v>
      </c>
      <c r="D717" s="80" t="s">
        <v>4953</v>
      </c>
      <c r="E717" s="81" t="s">
        <v>4954</v>
      </c>
      <c r="F717" s="80" t="s">
        <v>22</v>
      </c>
      <c r="G717" s="80" t="s">
        <v>12</v>
      </c>
      <c r="H717" s="80" t="s">
        <v>22</v>
      </c>
      <c r="I717" s="80" t="s">
        <v>4955</v>
      </c>
      <c r="J717" s="80" t="s">
        <v>43</v>
      </c>
      <c r="K717" s="80" t="s">
        <v>4956</v>
      </c>
      <c r="L717" s="92" t="s">
        <v>4957</v>
      </c>
      <c r="M717" s="83">
        <f t="shared" si="1"/>
        <v>336</v>
      </c>
      <c r="N717" s="84"/>
      <c r="O717" s="84">
        <v>336.0</v>
      </c>
      <c r="P717" s="84"/>
      <c r="Q717" s="94">
        <v>16860.0</v>
      </c>
      <c r="R717" s="94">
        <v>2192.0</v>
      </c>
      <c r="S717" s="95" t="s">
        <v>3473</v>
      </c>
      <c r="T717" s="94">
        <v>2.0</v>
      </c>
      <c r="U717" s="96">
        <v>41289.0</v>
      </c>
      <c r="V717" s="97" t="s">
        <v>4958</v>
      </c>
      <c r="W717" s="97" t="s">
        <v>4959</v>
      </c>
      <c r="X717" s="79" t="s">
        <v>4960</v>
      </c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  <c r="AK717" s="59"/>
      <c r="AL717" s="59"/>
      <c r="AM717" s="59"/>
      <c r="AN717" s="59"/>
      <c r="AO717" s="59"/>
      <c r="AP717" s="59"/>
      <c r="AQ717" s="59"/>
      <c r="AR717" s="59"/>
    </row>
    <row r="718" ht="19.5" customHeight="1">
      <c r="A718" s="79">
        <v>707.0</v>
      </c>
      <c r="B718" s="80" t="s">
        <v>37</v>
      </c>
      <c r="C718" s="80" t="s">
        <v>4961</v>
      </c>
      <c r="D718" s="80" t="s">
        <v>4962</v>
      </c>
      <c r="E718" s="81" t="s">
        <v>4963</v>
      </c>
      <c r="F718" s="80" t="s">
        <v>687</v>
      </c>
      <c r="G718" s="80" t="s">
        <v>42</v>
      </c>
      <c r="H718" s="80" t="s">
        <v>21</v>
      </c>
      <c r="I718" s="80" t="s">
        <v>4964</v>
      </c>
      <c r="J718" s="80" t="s">
        <v>43</v>
      </c>
      <c r="K718" s="91" t="s">
        <v>4961</v>
      </c>
      <c r="L718" s="92" t="s">
        <v>4965</v>
      </c>
      <c r="M718" s="83">
        <f t="shared" si="1"/>
        <v>200</v>
      </c>
      <c r="N718" s="84">
        <v>200.0</v>
      </c>
      <c r="O718" s="84">
        <v>0.0</v>
      </c>
      <c r="P718" s="84">
        <v>0.0</v>
      </c>
      <c r="Q718" s="94">
        <v>5389.0</v>
      </c>
      <c r="R718" s="94">
        <v>3347.76</v>
      </c>
      <c r="S718" s="95" t="s">
        <v>103</v>
      </c>
      <c r="T718" s="94">
        <v>1.0</v>
      </c>
      <c r="U718" s="96">
        <v>38608.0</v>
      </c>
      <c r="V718" s="97" t="s">
        <v>4966</v>
      </c>
      <c r="W718" s="97" t="s">
        <v>4967</v>
      </c>
      <c r="X718" s="7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  <c r="AK718" s="59"/>
      <c r="AL718" s="59"/>
      <c r="AM718" s="59"/>
      <c r="AN718" s="59"/>
      <c r="AO718" s="59"/>
      <c r="AP718" s="59"/>
      <c r="AQ718" s="59"/>
      <c r="AR718" s="59"/>
    </row>
    <row r="719" ht="19.5" customHeight="1">
      <c r="A719" s="79">
        <v>708.0</v>
      </c>
      <c r="B719" s="91" t="s">
        <v>37</v>
      </c>
      <c r="C719" s="91" t="s">
        <v>4961</v>
      </c>
      <c r="D719" s="91" t="s">
        <v>4968</v>
      </c>
      <c r="E719" s="92" t="s">
        <v>4969</v>
      </c>
      <c r="F719" s="91" t="s">
        <v>801</v>
      </c>
      <c r="G719" s="80" t="s">
        <v>46</v>
      </c>
      <c r="H719" s="80" t="s">
        <v>21</v>
      </c>
      <c r="I719" s="91" t="s">
        <v>802</v>
      </c>
      <c r="J719" s="80" t="s">
        <v>45</v>
      </c>
      <c r="K719" s="79" t="s">
        <v>803</v>
      </c>
      <c r="L719" s="93" t="s">
        <v>4970</v>
      </c>
      <c r="M719" s="83">
        <f t="shared" si="1"/>
        <v>162</v>
      </c>
      <c r="N719" s="84">
        <v>0.0</v>
      </c>
      <c r="O719" s="84">
        <v>162.0</v>
      </c>
      <c r="P719" s="84"/>
      <c r="Q719" s="94">
        <v>106222.0</v>
      </c>
      <c r="R719" s="94">
        <v>8572.0</v>
      </c>
      <c r="S719" s="95" t="s">
        <v>103</v>
      </c>
      <c r="T719" s="94">
        <v>4.0</v>
      </c>
      <c r="U719" s="96">
        <v>44804.0</v>
      </c>
      <c r="V719" s="97" t="s">
        <v>4971</v>
      </c>
      <c r="W719" s="97" t="s">
        <v>4972</v>
      </c>
      <c r="X719" s="79" t="s">
        <v>4973</v>
      </c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  <c r="AK719" s="59"/>
      <c r="AL719" s="59"/>
      <c r="AM719" s="59"/>
      <c r="AN719" s="59"/>
      <c r="AO719" s="59"/>
      <c r="AP719" s="59"/>
      <c r="AQ719" s="59"/>
      <c r="AR719" s="59"/>
    </row>
    <row r="720" ht="19.5" customHeight="1">
      <c r="A720" s="79">
        <v>709.0</v>
      </c>
      <c r="B720" s="80" t="s">
        <v>37</v>
      </c>
      <c r="C720" s="80" t="s">
        <v>4974</v>
      </c>
      <c r="D720" s="80" t="s">
        <v>4975</v>
      </c>
      <c r="E720" s="81" t="s">
        <v>4976</v>
      </c>
      <c r="F720" s="80" t="s">
        <v>81</v>
      </c>
      <c r="G720" s="80" t="s">
        <v>44</v>
      </c>
      <c r="H720" s="80" t="s">
        <v>21</v>
      </c>
      <c r="I720" s="80" t="s">
        <v>4977</v>
      </c>
      <c r="J720" s="80" t="s">
        <v>43</v>
      </c>
      <c r="K720" s="80" t="s">
        <v>4974</v>
      </c>
      <c r="L720" s="93" t="s">
        <v>4978</v>
      </c>
      <c r="M720" s="83">
        <f t="shared" si="1"/>
        <v>180</v>
      </c>
      <c r="N720" s="84">
        <v>180.0</v>
      </c>
      <c r="O720" s="84"/>
      <c r="P720" s="84"/>
      <c r="Q720" s="94">
        <v>17809.0</v>
      </c>
      <c r="R720" s="94">
        <v>734.2</v>
      </c>
      <c r="S720" s="95" t="s">
        <v>4979</v>
      </c>
      <c r="T720" s="94">
        <v>1.0</v>
      </c>
      <c r="U720" s="96">
        <v>38176.0</v>
      </c>
      <c r="V720" s="97" t="s">
        <v>4980</v>
      </c>
      <c r="W720" s="97" t="s">
        <v>4981</v>
      </c>
      <c r="X720" s="79" t="s">
        <v>4982</v>
      </c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  <c r="AK720" s="59"/>
      <c r="AL720" s="59"/>
      <c r="AM720" s="59"/>
      <c r="AN720" s="59"/>
      <c r="AO720" s="59"/>
      <c r="AP720" s="59"/>
      <c r="AQ720" s="59"/>
      <c r="AR720" s="59"/>
    </row>
    <row r="721" ht="19.5" customHeight="1">
      <c r="A721" s="79">
        <v>710.0</v>
      </c>
      <c r="B721" s="80" t="s">
        <v>37</v>
      </c>
      <c r="C721" s="80" t="s">
        <v>4974</v>
      </c>
      <c r="D721" s="80" t="s">
        <v>4975</v>
      </c>
      <c r="E721" s="81" t="s">
        <v>4983</v>
      </c>
      <c r="F721" s="80" t="s">
        <v>81</v>
      </c>
      <c r="G721" s="80" t="s">
        <v>42</v>
      </c>
      <c r="H721" s="80" t="s">
        <v>21</v>
      </c>
      <c r="I721" s="80" t="s">
        <v>4977</v>
      </c>
      <c r="J721" s="80" t="s">
        <v>43</v>
      </c>
      <c r="K721" s="80" t="s">
        <v>4974</v>
      </c>
      <c r="L721" s="92" t="s">
        <v>4978</v>
      </c>
      <c r="M721" s="83">
        <f t="shared" si="1"/>
        <v>400</v>
      </c>
      <c r="N721" s="84">
        <v>400.0</v>
      </c>
      <c r="O721" s="84"/>
      <c r="P721" s="84">
        <v>0.0</v>
      </c>
      <c r="Q721" s="94">
        <v>17809.0</v>
      </c>
      <c r="R721" s="94">
        <v>2460.0</v>
      </c>
      <c r="S721" s="95" t="s">
        <v>291</v>
      </c>
      <c r="T721" s="94">
        <v>1.0</v>
      </c>
      <c r="U721" s="96">
        <v>38176.0</v>
      </c>
      <c r="V721" s="97" t="s">
        <v>4980</v>
      </c>
      <c r="W721" s="97" t="s">
        <v>4981</v>
      </c>
      <c r="X721" s="79" t="s">
        <v>4982</v>
      </c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  <c r="AK721" s="59"/>
      <c r="AL721" s="59"/>
      <c r="AM721" s="59"/>
      <c r="AN721" s="59"/>
      <c r="AO721" s="59"/>
      <c r="AP721" s="59"/>
      <c r="AQ721" s="59"/>
      <c r="AR721" s="59"/>
    </row>
    <row r="722" ht="19.5" customHeight="1">
      <c r="A722" s="79">
        <v>711.0</v>
      </c>
      <c r="B722" s="95" t="s">
        <v>37</v>
      </c>
      <c r="C722" s="95" t="s">
        <v>4984</v>
      </c>
      <c r="D722" s="95" t="s">
        <v>4985</v>
      </c>
      <c r="E722" s="100" t="s">
        <v>4986</v>
      </c>
      <c r="F722" s="95" t="s">
        <v>687</v>
      </c>
      <c r="G722" s="80" t="s">
        <v>44</v>
      </c>
      <c r="H722" s="80" t="s">
        <v>21</v>
      </c>
      <c r="I722" s="95" t="s">
        <v>4987</v>
      </c>
      <c r="J722" s="80" t="s">
        <v>43</v>
      </c>
      <c r="K722" s="95"/>
      <c r="L722" s="92" t="s">
        <v>4988</v>
      </c>
      <c r="M722" s="83">
        <f t="shared" si="1"/>
        <v>70</v>
      </c>
      <c r="N722" s="84">
        <v>70.0</v>
      </c>
      <c r="O722" s="84"/>
      <c r="P722" s="84"/>
      <c r="Q722" s="94">
        <v>9798.38</v>
      </c>
      <c r="R722" s="94">
        <v>1354.0</v>
      </c>
      <c r="S722" s="95" t="s">
        <v>314</v>
      </c>
      <c r="T722" s="94">
        <v>1.0</v>
      </c>
      <c r="U722" s="96">
        <v>41502.0</v>
      </c>
      <c r="V722" s="97" t="s">
        <v>4989</v>
      </c>
      <c r="W722" s="97" t="s">
        <v>4990</v>
      </c>
      <c r="X722" s="7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  <c r="AK722" s="59"/>
      <c r="AL722" s="59"/>
      <c r="AM722" s="59"/>
      <c r="AN722" s="59"/>
      <c r="AO722" s="59"/>
      <c r="AP722" s="59"/>
      <c r="AQ722" s="59"/>
      <c r="AR722" s="59"/>
    </row>
    <row r="723" ht="19.5" customHeight="1">
      <c r="A723" s="79">
        <v>712.0</v>
      </c>
      <c r="B723" s="95" t="s">
        <v>37</v>
      </c>
      <c r="C723" s="95" t="s">
        <v>4991</v>
      </c>
      <c r="D723" s="95" t="s">
        <v>4992</v>
      </c>
      <c r="E723" s="100" t="s">
        <v>4993</v>
      </c>
      <c r="F723" s="95" t="s">
        <v>81</v>
      </c>
      <c r="G723" s="80" t="s">
        <v>42</v>
      </c>
      <c r="H723" s="80" t="s">
        <v>21</v>
      </c>
      <c r="I723" s="95" t="s">
        <v>4994</v>
      </c>
      <c r="J723" s="80" t="s">
        <v>47</v>
      </c>
      <c r="K723" s="95" t="s">
        <v>4995</v>
      </c>
      <c r="L723" s="92" t="s">
        <v>4996</v>
      </c>
      <c r="M723" s="83">
        <f t="shared" si="1"/>
        <v>498</v>
      </c>
      <c r="N723" s="84">
        <v>498.0</v>
      </c>
      <c r="O723" s="84">
        <v>0.0</v>
      </c>
      <c r="P723" s="84">
        <v>0.0</v>
      </c>
      <c r="Q723" s="94">
        <v>7329.0</v>
      </c>
      <c r="R723" s="94">
        <v>4525.0</v>
      </c>
      <c r="S723" s="95" t="s">
        <v>103</v>
      </c>
      <c r="T723" s="94">
        <v>1.0</v>
      </c>
      <c r="U723" s="96">
        <v>37097.0</v>
      </c>
      <c r="V723" s="97" t="s">
        <v>4997</v>
      </c>
      <c r="W723" s="97" t="s">
        <v>4998</v>
      </c>
      <c r="X723" s="79" t="s">
        <v>4999</v>
      </c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  <c r="AK723" s="59"/>
      <c r="AL723" s="59"/>
      <c r="AM723" s="59"/>
      <c r="AN723" s="59"/>
      <c r="AO723" s="59"/>
      <c r="AP723" s="59"/>
      <c r="AQ723" s="59"/>
      <c r="AR723" s="59"/>
    </row>
    <row r="724" ht="19.5" customHeight="1">
      <c r="A724" s="79">
        <v>713.0</v>
      </c>
      <c r="B724" s="80" t="s">
        <v>37</v>
      </c>
      <c r="C724" s="80" t="s">
        <v>4991</v>
      </c>
      <c r="D724" s="80" t="s">
        <v>5000</v>
      </c>
      <c r="E724" s="81" t="s">
        <v>5001</v>
      </c>
      <c r="F724" s="80" t="s">
        <v>22</v>
      </c>
      <c r="G724" s="80" t="s">
        <v>44</v>
      </c>
      <c r="H724" s="80" t="s">
        <v>22</v>
      </c>
      <c r="I724" s="91" t="s">
        <v>5002</v>
      </c>
      <c r="J724" s="80" t="s">
        <v>43</v>
      </c>
      <c r="K724" s="91" t="s">
        <v>5003</v>
      </c>
      <c r="L724" s="92" t="s">
        <v>5004</v>
      </c>
      <c r="M724" s="83">
        <f t="shared" si="1"/>
        <v>200</v>
      </c>
      <c r="N724" s="84">
        <v>200.0</v>
      </c>
      <c r="O724" s="84">
        <v>0.0</v>
      </c>
      <c r="P724" s="84">
        <v>0.0</v>
      </c>
      <c r="Q724" s="94">
        <v>4824.0</v>
      </c>
      <c r="R724" s="94">
        <v>2981.14</v>
      </c>
      <c r="S724" s="95" t="s">
        <v>194</v>
      </c>
      <c r="T724" s="94">
        <v>1.0</v>
      </c>
      <c r="U724" s="96">
        <v>41359.0</v>
      </c>
      <c r="V724" s="97" t="s">
        <v>5005</v>
      </c>
      <c r="W724" s="97" t="s">
        <v>5006</v>
      </c>
      <c r="X724" s="79" t="s">
        <v>5007</v>
      </c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  <c r="AK724" s="59"/>
      <c r="AL724" s="59"/>
      <c r="AM724" s="59"/>
      <c r="AN724" s="59"/>
      <c r="AO724" s="59"/>
      <c r="AP724" s="59"/>
      <c r="AQ724" s="59"/>
      <c r="AR724" s="59"/>
    </row>
    <row r="725" ht="19.5" customHeight="1">
      <c r="A725" s="79">
        <v>714.0</v>
      </c>
      <c r="B725" s="80" t="s">
        <v>37</v>
      </c>
      <c r="C725" s="80" t="s">
        <v>4991</v>
      </c>
      <c r="D725" s="80" t="s">
        <v>5008</v>
      </c>
      <c r="E725" s="81" t="s">
        <v>5009</v>
      </c>
      <c r="F725" s="80" t="s">
        <v>81</v>
      </c>
      <c r="G725" s="80" t="s">
        <v>46</v>
      </c>
      <c r="H725" s="80" t="s">
        <v>21</v>
      </c>
      <c r="I725" s="91" t="s">
        <v>4994</v>
      </c>
      <c r="J725" s="80" t="s">
        <v>47</v>
      </c>
      <c r="K725" s="91" t="s">
        <v>4995</v>
      </c>
      <c r="L725" s="92" t="s">
        <v>5010</v>
      </c>
      <c r="M725" s="83">
        <f t="shared" si="1"/>
        <v>396</v>
      </c>
      <c r="N725" s="84">
        <v>0.0</v>
      </c>
      <c r="O725" s="84">
        <v>196.0</v>
      </c>
      <c r="P725" s="84">
        <v>200.0</v>
      </c>
      <c r="Q725" s="94">
        <v>177774.0</v>
      </c>
      <c r="R725" s="94">
        <v>2753.0</v>
      </c>
      <c r="S725" s="95" t="s">
        <v>103</v>
      </c>
      <c r="T725" s="94">
        <v>1.0</v>
      </c>
      <c r="U725" s="96">
        <v>41548.0</v>
      </c>
      <c r="V725" s="97" t="s">
        <v>5011</v>
      </c>
      <c r="W725" s="97" t="s">
        <v>5012</v>
      </c>
      <c r="X725" s="79" t="s">
        <v>5013</v>
      </c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  <c r="AK725" s="59"/>
      <c r="AL725" s="59"/>
      <c r="AM725" s="59"/>
      <c r="AN725" s="59"/>
      <c r="AO725" s="59"/>
      <c r="AP725" s="59"/>
      <c r="AQ725" s="59"/>
      <c r="AR725" s="59"/>
    </row>
    <row r="726" ht="19.5" customHeight="1">
      <c r="A726" s="79">
        <v>715.0</v>
      </c>
      <c r="B726" s="91" t="s">
        <v>37</v>
      </c>
      <c r="C726" s="91" t="s">
        <v>5014</v>
      </c>
      <c r="D726" s="91" t="s">
        <v>5015</v>
      </c>
      <c r="E726" s="92" t="s">
        <v>5016</v>
      </c>
      <c r="F726" s="91" t="s">
        <v>687</v>
      </c>
      <c r="G726" s="80" t="s">
        <v>44</v>
      </c>
      <c r="H726" s="80" t="s">
        <v>21</v>
      </c>
      <c r="I726" s="91" t="s">
        <v>5017</v>
      </c>
      <c r="J726" s="80" t="s">
        <v>43</v>
      </c>
      <c r="K726" s="91" t="s">
        <v>5014</v>
      </c>
      <c r="L726" s="92" t="s">
        <v>5018</v>
      </c>
      <c r="M726" s="83">
        <f t="shared" si="1"/>
        <v>100</v>
      </c>
      <c r="N726" s="84">
        <v>100.0</v>
      </c>
      <c r="O726" s="84">
        <v>0.0</v>
      </c>
      <c r="P726" s="84">
        <v>0.0</v>
      </c>
      <c r="Q726" s="94">
        <v>16748.0</v>
      </c>
      <c r="R726" s="94">
        <v>502.0</v>
      </c>
      <c r="S726" s="95" t="s">
        <v>704</v>
      </c>
      <c r="T726" s="94">
        <v>1.0</v>
      </c>
      <c r="U726" s="96">
        <v>39098.0</v>
      </c>
      <c r="V726" s="97" t="s">
        <v>5019</v>
      </c>
      <c r="W726" s="97" t="s">
        <v>5020</v>
      </c>
      <c r="X726" s="79" t="s">
        <v>5021</v>
      </c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  <c r="AK726" s="59"/>
      <c r="AL726" s="59"/>
      <c r="AM726" s="59"/>
      <c r="AN726" s="59"/>
      <c r="AO726" s="59"/>
      <c r="AP726" s="59"/>
      <c r="AQ726" s="59"/>
      <c r="AR726" s="59"/>
    </row>
    <row r="727" ht="19.5" customHeight="1">
      <c r="A727" s="79">
        <v>716.0</v>
      </c>
      <c r="B727" s="80" t="s">
        <v>37</v>
      </c>
      <c r="C727" s="80" t="s">
        <v>5014</v>
      </c>
      <c r="D727" s="80" t="s">
        <v>5015</v>
      </c>
      <c r="E727" s="81" t="s">
        <v>5022</v>
      </c>
      <c r="F727" s="80" t="s">
        <v>801</v>
      </c>
      <c r="G727" s="80" t="s">
        <v>46</v>
      </c>
      <c r="H727" s="80" t="s">
        <v>21</v>
      </c>
      <c r="I727" s="91" t="s">
        <v>802</v>
      </c>
      <c r="J727" s="80" t="s">
        <v>45</v>
      </c>
      <c r="K727" s="91" t="s">
        <v>803</v>
      </c>
      <c r="L727" s="92" t="s">
        <v>5023</v>
      </c>
      <c r="M727" s="83">
        <f t="shared" si="1"/>
        <v>285</v>
      </c>
      <c r="N727" s="84"/>
      <c r="O727" s="84">
        <v>285.0</v>
      </c>
      <c r="P727" s="84"/>
      <c r="Q727" s="94">
        <v>50169.0</v>
      </c>
      <c r="R727" s="94">
        <v>13646.43</v>
      </c>
      <c r="S727" s="95" t="s">
        <v>5024</v>
      </c>
      <c r="T727" s="94">
        <v>9.0</v>
      </c>
      <c r="U727" s="96">
        <v>41477.0</v>
      </c>
      <c r="V727" s="97" t="s">
        <v>5025</v>
      </c>
      <c r="W727" s="97" t="s">
        <v>5026</v>
      </c>
      <c r="X727" s="79" t="s">
        <v>5027</v>
      </c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  <c r="AK727" s="59"/>
      <c r="AL727" s="59"/>
      <c r="AM727" s="59"/>
      <c r="AN727" s="59"/>
      <c r="AO727" s="59"/>
      <c r="AP727" s="59"/>
      <c r="AQ727" s="59"/>
      <c r="AR727" s="59"/>
    </row>
    <row r="728" ht="19.5" customHeight="1">
      <c r="A728" s="79">
        <v>717.0</v>
      </c>
      <c r="B728" s="80" t="s">
        <v>37</v>
      </c>
      <c r="C728" s="80" t="s">
        <v>5014</v>
      </c>
      <c r="D728" s="80" t="s">
        <v>5015</v>
      </c>
      <c r="E728" s="81" t="s">
        <v>5028</v>
      </c>
      <c r="F728" s="80" t="s">
        <v>687</v>
      </c>
      <c r="G728" s="80" t="s">
        <v>12</v>
      </c>
      <c r="H728" s="80" t="s">
        <v>21</v>
      </c>
      <c r="I728" s="80" t="s">
        <v>5017</v>
      </c>
      <c r="J728" s="80" t="s">
        <v>43</v>
      </c>
      <c r="K728" s="91" t="s">
        <v>5014</v>
      </c>
      <c r="L728" s="92" t="s">
        <v>5029</v>
      </c>
      <c r="M728" s="83">
        <f t="shared" si="1"/>
        <v>106</v>
      </c>
      <c r="N728" s="84"/>
      <c r="O728" s="84">
        <v>106.0</v>
      </c>
      <c r="P728" s="84"/>
      <c r="Q728" s="94">
        <v>12000.0</v>
      </c>
      <c r="R728" s="94">
        <v>712.0</v>
      </c>
      <c r="S728" s="95" t="s">
        <v>5030</v>
      </c>
      <c r="T728" s="94">
        <v>11.0</v>
      </c>
      <c r="U728" s="96">
        <v>41842.0</v>
      </c>
      <c r="V728" s="97" t="s">
        <v>5031</v>
      </c>
      <c r="W728" s="97" t="s">
        <v>5032</v>
      </c>
      <c r="X728" s="79" t="s">
        <v>5033</v>
      </c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  <c r="AK728" s="59"/>
      <c r="AL728" s="59"/>
      <c r="AM728" s="59"/>
      <c r="AN728" s="59"/>
      <c r="AO728" s="59"/>
      <c r="AP728" s="59"/>
      <c r="AQ728" s="59"/>
      <c r="AR728" s="59"/>
    </row>
    <row r="729" ht="19.5" customHeight="1">
      <c r="A729" s="79">
        <v>718.0</v>
      </c>
      <c r="B729" s="80" t="s">
        <v>37</v>
      </c>
      <c r="C729" s="95" t="s">
        <v>5034</v>
      </c>
      <c r="D729" s="95" t="s">
        <v>5035</v>
      </c>
      <c r="E729" s="100" t="s">
        <v>5036</v>
      </c>
      <c r="F729" s="95" t="s">
        <v>687</v>
      </c>
      <c r="G729" s="80" t="s">
        <v>46</v>
      </c>
      <c r="H729" s="80" t="s">
        <v>21</v>
      </c>
      <c r="I729" s="95" t="s">
        <v>5037</v>
      </c>
      <c r="J729" s="80" t="s">
        <v>43</v>
      </c>
      <c r="K729" s="95" t="s">
        <v>5038</v>
      </c>
      <c r="L729" s="92" t="s">
        <v>5039</v>
      </c>
      <c r="M729" s="83">
        <f t="shared" si="1"/>
        <v>230</v>
      </c>
      <c r="N729" s="84"/>
      <c r="O729" s="84">
        <v>230.0</v>
      </c>
      <c r="P729" s="84"/>
      <c r="Q729" s="94">
        <v>36146.0</v>
      </c>
      <c r="R729" s="94">
        <v>4149.08</v>
      </c>
      <c r="S729" s="95" t="s">
        <v>291</v>
      </c>
      <c r="T729" s="94">
        <v>5.0</v>
      </c>
      <c r="U729" s="96">
        <v>36642.0</v>
      </c>
      <c r="V729" s="97" t="s">
        <v>5040</v>
      </c>
      <c r="W729" s="97" t="s">
        <v>5041</v>
      </c>
      <c r="X729" s="79" t="s">
        <v>5042</v>
      </c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  <c r="AK729" s="59"/>
      <c r="AL729" s="59"/>
      <c r="AM729" s="59"/>
      <c r="AN729" s="59"/>
      <c r="AO729" s="59"/>
      <c r="AP729" s="59"/>
      <c r="AQ729" s="59"/>
      <c r="AR729" s="59"/>
    </row>
    <row r="730" ht="19.5" customHeight="1">
      <c r="A730" s="79">
        <v>719.0</v>
      </c>
      <c r="B730" s="79" t="s">
        <v>37</v>
      </c>
      <c r="C730" s="79" t="s">
        <v>5034</v>
      </c>
      <c r="D730" s="79" t="s">
        <v>5043</v>
      </c>
      <c r="E730" s="102" t="s">
        <v>5044</v>
      </c>
      <c r="F730" s="79" t="s">
        <v>687</v>
      </c>
      <c r="G730" s="80" t="s">
        <v>42</v>
      </c>
      <c r="H730" s="80" t="s">
        <v>21</v>
      </c>
      <c r="I730" s="79" t="s">
        <v>5037</v>
      </c>
      <c r="J730" s="80" t="s">
        <v>43</v>
      </c>
      <c r="K730" s="79" t="s">
        <v>5044</v>
      </c>
      <c r="L730" s="102" t="s">
        <v>5045</v>
      </c>
      <c r="M730" s="83">
        <f t="shared" si="1"/>
        <v>250</v>
      </c>
      <c r="N730" s="84">
        <v>250.0</v>
      </c>
      <c r="O730" s="84">
        <v>0.0</v>
      </c>
      <c r="P730" s="84">
        <v>0.0</v>
      </c>
      <c r="Q730" s="94">
        <v>3382.0</v>
      </c>
      <c r="R730" s="94">
        <v>2597.79</v>
      </c>
      <c r="S730" s="95" t="s">
        <v>103</v>
      </c>
      <c r="T730" s="94">
        <v>1.0</v>
      </c>
      <c r="U730" s="96">
        <v>44280.0</v>
      </c>
      <c r="V730" s="97" t="s">
        <v>5046</v>
      </c>
      <c r="W730" s="97" t="s">
        <v>5047</v>
      </c>
      <c r="X730" s="79" t="s">
        <v>5048</v>
      </c>
      <c r="Y730" s="98"/>
      <c r="Z730" s="98"/>
      <c r="AA730" s="98"/>
      <c r="AB730" s="98"/>
      <c r="AC730" s="98"/>
      <c r="AD730" s="98"/>
      <c r="AE730" s="98"/>
      <c r="AF730" s="98"/>
      <c r="AG730" s="98"/>
      <c r="AH730" s="98"/>
      <c r="AI730" s="98"/>
      <c r="AJ730" s="98"/>
      <c r="AK730" s="98"/>
      <c r="AL730" s="98"/>
      <c r="AM730" s="98"/>
      <c r="AN730" s="98"/>
      <c r="AO730" s="98"/>
      <c r="AP730" s="98"/>
      <c r="AQ730" s="98"/>
      <c r="AR730" s="98"/>
    </row>
    <row r="731" ht="19.5" customHeight="1">
      <c r="A731" s="79">
        <v>720.0</v>
      </c>
      <c r="B731" s="95" t="s">
        <v>37</v>
      </c>
      <c r="C731" s="95" t="s">
        <v>5049</v>
      </c>
      <c r="D731" s="95" t="s">
        <v>5050</v>
      </c>
      <c r="E731" s="100" t="s">
        <v>5051</v>
      </c>
      <c r="F731" s="95" t="s">
        <v>81</v>
      </c>
      <c r="G731" s="80" t="s">
        <v>44</v>
      </c>
      <c r="H731" s="80" t="s">
        <v>21</v>
      </c>
      <c r="I731" s="95" t="s">
        <v>5052</v>
      </c>
      <c r="J731" s="80" t="s">
        <v>43</v>
      </c>
      <c r="K731" s="95" t="s">
        <v>5049</v>
      </c>
      <c r="L731" s="92" t="s">
        <v>5053</v>
      </c>
      <c r="M731" s="83">
        <f t="shared" si="1"/>
        <v>150</v>
      </c>
      <c r="N731" s="84">
        <v>150.0</v>
      </c>
      <c r="O731" s="84"/>
      <c r="P731" s="84"/>
      <c r="Q731" s="94">
        <v>1582.0</v>
      </c>
      <c r="R731" s="94">
        <v>1418.0</v>
      </c>
      <c r="S731" s="95" t="s">
        <v>380</v>
      </c>
      <c r="T731" s="94">
        <v>2.0</v>
      </c>
      <c r="U731" s="96">
        <v>40308.0</v>
      </c>
      <c r="V731" s="97" t="s">
        <v>5054</v>
      </c>
      <c r="W731" s="97" t="s">
        <v>5055</v>
      </c>
      <c r="X731" s="79" t="s">
        <v>5056</v>
      </c>
      <c r="Y731" s="98"/>
      <c r="Z731" s="98"/>
      <c r="AA731" s="98"/>
      <c r="AB731" s="98"/>
      <c r="AC731" s="98"/>
      <c r="AD731" s="98"/>
      <c r="AE731" s="98"/>
      <c r="AF731" s="98"/>
      <c r="AG731" s="98"/>
      <c r="AH731" s="98"/>
      <c r="AI731" s="98"/>
      <c r="AJ731" s="98"/>
      <c r="AK731" s="98"/>
      <c r="AL731" s="98"/>
      <c r="AM731" s="98"/>
      <c r="AN731" s="98"/>
      <c r="AO731" s="98"/>
      <c r="AP731" s="98"/>
      <c r="AQ731" s="98"/>
      <c r="AR731" s="98"/>
    </row>
    <row r="732" ht="19.5" customHeight="1">
      <c r="A732" s="79">
        <v>721.0</v>
      </c>
      <c r="B732" s="80" t="s">
        <v>37</v>
      </c>
      <c r="C732" s="80" t="s">
        <v>5049</v>
      </c>
      <c r="D732" s="80" t="s">
        <v>5057</v>
      </c>
      <c r="E732" s="81" t="s">
        <v>5058</v>
      </c>
      <c r="F732" s="80" t="s">
        <v>81</v>
      </c>
      <c r="G732" s="80" t="s">
        <v>46</v>
      </c>
      <c r="H732" s="80" t="s">
        <v>21</v>
      </c>
      <c r="I732" s="80" t="s">
        <v>5052</v>
      </c>
      <c r="J732" s="80" t="s">
        <v>45</v>
      </c>
      <c r="K732" s="80" t="s">
        <v>5059</v>
      </c>
      <c r="L732" s="92" t="s">
        <v>5060</v>
      </c>
      <c r="M732" s="83">
        <f t="shared" si="1"/>
        <v>340</v>
      </c>
      <c r="N732" s="84">
        <v>200.0</v>
      </c>
      <c r="O732" s="84">
        <v>140.0</v>
      </c>
      <c r="P732" s="84"/>
      <c r="Q732" s="94">
        <v>10333.0</v>
      </c>
      <c r="R732" s="94">
        <v>3414.0</v>
      </c>
      <c r="S732" s="95" t="s">
        <v>103</v>
      </c>
      <c r="T732" s="94">
        <v>1.0</v>
      </c>
      <c r="U732" s="96">
        <v>37027.0</v>
      </c>
      <c r="V732" s="97" t="s">
        <v>5061</v>
      </c>
      <c r="W732" s="97" t="s">
        <v>5062</v>
      </c>
      <c r="X732" s="79" t="s">
        <v>5063</v>
      </c>
      <c r="Y732" s="98"/>
      <c r="Z732" s="98"/>
      <c r="AA732" s="98"/>
      <c r="AB732" s="98"/>
      <c r="AC732" s="98"/>
      <c r="AD732" s="98"/>
      <c r="AE732" s="98"/>
      <c r="AF732" s="98"/>
      <c r="AG732" s="98"/>
      <c r="AH732" s="98"/>
      <c r="AI732" s="98"/>
      <c r="AJ732" s="98"/>
      <c r="AK732" s="98"/>
      <c r="AL732" s="98"/>
      <c r="AM732" s="98"/>
      <c r="AN732" s="98"/>
      <c r="AO732" s="98"/>
      <c r="AP732" s="98"/>
      <c r="AQ732" s="98"/>
      <c r="AR732" s="98"/>
    </row>
    <row r="733" ht="19.5" customHeight="1">
      <c r="A733" s="79">
        <v>722.0</v>
      </c>
      <c r="B733" s="95" t="s">
        <v>37</v>
      </c>
      <c r="C733" s="95" t="s">
        <v>5049</v>
      </c>
      <c r="D733" s="95" t="s">
        <v>5064</v>
      </c>
      <c r="E733" s="100" t="s">
        <v>5065</v>
      </c>
      <c r="F733" s="95" t="s">
        <v>81</v>
      </c>
      <c r="G733" s="80" t="s">
        <v>48</v>
      </c>
      <c r="H733" s="80" t="s">
        <v>21</v>
      </c>
      <c r="I733" s="95" t="s">
        <v>5052</v>
      </c>
      <c r="J733" s="80" t="s">
        <v>43</v>
      </c>
      <c r="K733" s="95" t="s">
        <v>5049</v>
      </c>
      <c r="L733" s="92" t="s">
        <v>5066</v>
      </c>
      <c r="M733" s="83">
        <f t="shared" si="1"/>
        <v>200</v>
      </c>
      <c r="N733" s="84"/>
      <c r="O733" s="84"/>
      <c r="P733" s="84">
        <v>200.0</v>
      </c>
      <c r="Q733" s="94">
        <v>14114.0</v>
      </c>
      <c r="R733" s="94" t="s">
        <v>5067</v>
      </c>
      <c r="S733" s="95" t="s">
        <v>704</v>
      </c>
      <c r="T733" s="94">
        <v>5.0</v>
      </c>
      <c r="U733" s="96">
        <v>33414.0</v>
      </c>
      <c r="V733" s="97" t="s">
        <v>5068</v>
      </c>
      <c r="W733" s="97"/>
      <c r="X733" s="79" t="s">
        <v>5069</v>
      </c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  <c r="AK733" s="59"/>
      <c r="AL733" s="59"/>
      <c r="AM733" s="59"/>
      <c r="AN733" s="59"/>
      <c r="AO733" s="59"/>
      <c r="AP733" s="59"/>
      <c r="AQ733" s="59"/>
      <c r="AR733" s="59"/>
    </row>
    <row r="734" ht="19.5" customHeight="1">
      <c r="A734" s="79">
        <v>723.0</v>
      </c>
      <c r="B734" s="80" t="s">
        <v>37</v>
      </c>
      <c r="C734" s="80" t="s">
        <v>5070</v>
      </c>
      <c r="D734" s="80" t="s">
        <v>1456</v>
      </c>
      <c r="E734" s="81" t="s">
        <v>5071</v>
      </c>
      <c r="F734" s="80" t="s">
        <v>81</v>
      </c>
      <c r="G734" s="80" t="s">
        <v>42</v>
      </c>
      <c r="H734" s="80" t="s">
        <v>21</v>
      </c>
      <c r="I734" s="80" t="s">
        <v>5072</v>
      </c>
      <c r="J734" s="80" t="s">
        <v>43</v>
      </c>
      <c r="K734" s="80" t="s">
        <v>5070</v>
      </c>
      <c r="L734" s="92" t="s">
        <v>5073</v>
      </c>
      <c r="M734" s="83">
        <f t="shared" si="1"/>
        <v>300</v>
      </c>
      <c r="N734" s="84">
        <v>300.0</v>
      </c>
      <c r="O734" s="84"/>
      <c r="P734" s="84"/>
      <c r="Q734" s="94">
        <v>40115.0</v>
      </c>
      <c r="R734" s="94">
        <v>3077.0</v>
      </c>
      <c r="S734" s="95" t="s">
        <v>291</v>
      </c>
      <c r="T734" s="94">
        <v>1.0</v>
      </c>
      <c r="U734" s="96">
        <v>38108.0</v>
      </c>
      <c r="V734" s="97" t="s">
        <v>5074</v>
      </c>
      <c r="W734" s="97" t="s">
        <v>5075</v>
      </c>
      <c r="X734" s="79" t="s">
        <v>5076</v>
      </c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  <c r="AK734" s="59"/>
      <c r="AL734" s="59"/>
      <c r="AM734" s="59"/>
      <c r="AN734" s="59"/>
      <c r="AO734" s="59"/>
      <c r="AP734" s="59"/>
      <c r="AQ734" s="59"/>
      <c r="AR734" s="59"/>
    </row>
    <row r="735" ht="19.5" customHeight="1">
      <c r="A735" s="79">
        <v>724.0</v>
      </c>
      <c r="B735" s="80" t="s">
        <v>37</v>
      </c>
      <c r="C735" s="80" t="s">
        <v>5070</v>
      </c>
      <c r="D735" s="80" t="s">
        <v>5077</v>
      </c>
      <c r="E735" s="81" t="s">
        <v>5078</v>
      </c>
      <c r="F735" s="80" t="s">
        <v>81</v>
      </c>
      <c r="G735" s="80" t="s">
        <v>44</v>
      </c>
      <c r="H735" s="80" t="s">
        <v>21</v>
      </c>
      <c r="I735" s="80" t="s">
        <v>5072</v>
      </c>
      <c r="J735" s="80" t="s">
        <v>43</v>
      </c>
      <c r="K735" s="80" t="s">
        <v>5070</v>
      </c>
      <c r="L735" s="92" t="s">
        <v>5079</v>
      </c>
      <c r="M735" s="83">
        <f t="shared" si="1"/>
        <v>150</v>
      </c>
      <c r="N735" s="84">
        <v>150.0</v>
      </c>
      <c r="O735" s="84"/>
      <c r="P735" s="84"/>
      <c r="Q735" s="94">
        <v>1411.0</v>
      </c>
      <c r="R735" s="94">
        <v>448.0</v>
      </c>
      <c r="S735" s="95" t="s">
        <v>350</v>
      </c>
      <c r="T735" s="94">
        <v>1.0</v>
      </c>
      <c r="U735" s="96">
        <v>42704.0</v>
      </c>
      <c r="V735" s="97" t="s">
        <v>5080</v>
      </c>
      <c r="W735" s="97" t="s">
        <v>5081</v>
      </c>
      <c r="X735" s="79" t="s">
        <v>5082</v>
      </c>
      <c r="Y735" s="98"/>
      <c r="Z735" s="98"/>
      <c r="AA735" s="98"/>
      <c r="AB735" s="98"/>
      <c r="AC735" s="98"/>
      <c r="AD735" s="98"/>
      <c r="AE735" s="98"/>
      <c r="AF735" s="98"/>
      <c r="AG735" s="98"/>
      <c r="AH735" s="98"/>
      <c r="AI735" s="98"/>
      <c r="AJ735" s="98"/>
      <c r="AK735" s="98"/>
      <c r="AL735" s="98"/>
      <c r="AM735" s="98"/>
      <c r="AN735" s="98"/>
      <c r="AO735" s="98"/>
      <c r="AP735" s="98"/>
      <c r="AQ735" s="98"/>
      <c r="AR735" s="98"/>
    </row>
    <row r="736" ht="19.5" customHeight="1">
      <c r="A736" s="79">
        <v>725.0</v>
      </c>
      <c r="B736" s="80" t="s">
        <v>37</v>
      </c>
      <c r="C736" s="80" t="s">
        <v>5083</v>
      </c>
      <c r="D736" s="80" t="s">
        <v>5084</v>
      </c>
      <c r="E736" s="81" t="s">
        <v>5085</v>
      </c>
      <c r="F736" s="80" t="s">
        <v>687</v>
      </c>
      <c r="G736" s="80" t="s">
        <v>42</v>
      </c>
      <c r="H736" s="80" t="s">
        <v>21</v>
      </c>
      <c r="I736" s="91" t="s">
        <v>5086</v>
      </c>
      <c r="J736" s="80" t="s">
        <v>43</v>
      </c>
      <c r="K736" s="91" t="s">
        <v>5083</v>
      </c>
      <c r="L736" s="92" t="s">
        <v>5087</v>
      </c>
      <c r="M736" s="83">
        <f t="shared" si="1"/>
        <v>300</v>
      </c>
      <c r="N736" s="84">
        <v>300.0</v>
      </c>
      <c r="O736" s="84">
        <v>0.0</v>
      </c>
      <c r="P736" s="84">
        <v>0.0</v>
      </c>
      <c r="Q736" s="94">
        <v>8589.0</v>
      </c>
      <c r="R736" s="94" t="s">
        <v>5088</v>
      </c>
      <c r="S736" s="95" t="s">
        <v>103</v>
      </c>
      <c r="T736" s="94">
        <v>1.0</v>
      </c>
      <c r="U736" s="96">
        <v>38926.0</v>
      </c>
      <c r="V736" s="97" t="s">
        <v>5089</v>
      </c>
      <c r="W736" s="97" t="s">
        <v>5090</v>
      </c>
      <c r="X736" s="79" t="s">
        <v>5091</v>
      </c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  <c r="AK736" s="59"/>
      <c r="AL736" s="59"/>
      <c r="AM736" s="59"/>
      <c r="AN736" s="59"/>
      <c r="AO736" s="59"/>
      <c r="AP736" s="59"/>
      <c r="AQ736" s="59"/>
      <c r="AR736" s="59"/>
    </row>
    <row r="737" ht="19.5" customHeight="1">
      <c r="A737" s="79">
        <v>726.0</v>
      </c>
      <c r="B737" s="80" t="s">
        <v>37</v>
      </c>
      <c r="C737" s="91" t="s">
        <v>5083</v>
      </c>
      <c r="D737" s="91" t="s">
        <v>5084</v>
      </c>
      <c r="E737" s="92" t="s">
        <v>5092</v>
      </c>
      <c r="F737" s="91" t="s">
        <v>687</v>
      </c>
      <c r="G737" s="80" t="s">
        <v>44</v>
      </c>
      <c r="H737" s="80" t="s">
        <v>21</v>
      </c>
      <c r="I737" s="91" t="s">
        <v>5086</v>
      </c>
      <c r="J737" s="80" t="s">
        <v>43</v>
      </c>
      <c r="K737" s="91" t="s">
        <v>5083</v>
      </c>
      <c r="L737" s="92" t="s">
        <v>5093</v>
      </c>
      <c r="M737" s="83">
        <f t="shared" si="1"/>
        <v>500</v>
      </c>
      <c r="N737" s="84">
        <v>500.0</v>
      </c>
      <c r="O737" s="84">
        <v>0.0</v>
      </c>
      <c r="P737" s="84">
        <v>0.0</v>
      </c>
      <c r="Q737" s="94">
        <v>5519.1</v>
      </c>
      <c r="R737" s="94">
        <v>2823.0</v>
      </c>
      <c r="S737" s="95" t="s">
        <v>320</v>
      </c>
      <c r="T737" s="94">
        <v>1.0</v>
      </c>
      <c r="U737" s="96">
        <v>45138.0</v>
      </c>
      <c r="V737" s="97" t="s">
        <v>5094</v>
      </c>
      <c r="W737" s="97" t="s">
        <v>5095</v>
      </c>
      <c r="X737" s="79" t="s">
        <v>3816</v>
      </c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  <c r="AK737" s="59"/>
      <c r="AL737" s="59"/>
      <c r="AM737" s="59"/>
      <c r="AN737" s="59"/>
      <c r="AO737" s="59"/>
      <c r="AP737" s="59"/>
      <c r="AQ737" s="59"/>
      <c r="AR737" s="59"/>
    </row>
    <row r="738" ht="19.5" customHeight="1">
      <c r="A738" s="79">
        <v>727.0</v>
      </c>
      <c r="B738" s="80" t="s">
        <v>37</v>
      </c>
      <c r="C738" s="80" t="s">
        <v>5096</v>
      </c>
      <c r="D738" s="80" t="s">
        <v>5097</v>
      </c>
      <c r="E738" s="81" t="s">
        <v>5098</v>
      </c>
      <c r="F738" s="80" t="s">
        <v>687</v>
      </c>
      <c r="G738" s="80" t="s">
        <v>42</v>
      </c>
      <c r="H738" s="80" t="s">
        <v>21</v>
      </c>
      <c r="I738" s="80" t="s">
        <v>5099</v>
      </c>
      <c r="J738" s="80" t="s">
        <v>43</v>
      </c>
      <c r="K738" s="80" t="s">
        <v>5096</v>
      </c>
      <c r="L738" s="92" t="s">
        <v>5100</v>
      </c>
      <c r="M738" s="83">
        <f t="shared" si="1"/>
        <v>200</v>
      </c>
      <c r="N738" s="84">
        <v>200.0</v>
      </c>
      <c r="O738" s="84">
        <v>0.0</v>
      </c>
      <c r="P738" s="84">
        <v>0.0</v>
      </c>
      <c r="Q738" s="94">
        <v>31772.0</v>
      </c>
      <c r="R738" s="94">
        <v>1674.0</v>
      </c>
      <c r="S738" s="95" t="s">
        <v>314</v>
      </c>
      <c r="T738" s="94">
        <v>2.0</v>
      </c>
      <c r="U738" s="96">
        <v>39596.0</v>
      </c>
      <c r="V738" s="97" t="s">
        <v>5101</v>
      </c>
      <c r="W738" s="97" t="s">
        <v>5102</v>
      </c>
      <c r="X738" s="79" t="s">
        <v>3816</v>
      </c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  <c r="AK738" s="59"/>
      <c r="AL738" s="59"/>
      <c r="AM738" s="59"/>
      <c r="AN738" s="59"/>
      <c r="AO738" s="59"/>
      <c r="AP738" s="59"/>
      <c r="AQ738" s="59"/>
      <c r="AR738" s="59"/>
    </row>
    <row r="739" ht="19.5" customHeight="1">
      <c r="A739" s="79">
        <v>728.0</v>
      </c>
      <c r="B739" s="80" t="s">
        <v>37</v>
      </c>
      <c r="C739" s="80" t="s">
        <v>5103</v>
      </c>
      <c r="D739" s="80" t="s">
        <v>5104</v>
      </c>
      <c r="E739" s="81" t="s">
        <v>5105</v>
      </c>
      <c r="F739" s="80" t="s">
        <v>687</v>
      </c>
      <c r="G739" s="80" t="s">
        <v>44</v>
      </c>
      <c r="H739" s="80" t="s">
        <v>21</v>
      </c>
      <c r="I739" s="80" t="s">
        <v>5106</v>
      </c>
      <c r="J739" s="80" t="s">
        <v>43</v>
      </c>
      <c r="K739" s="80" t="s">
        <v>5103</v>
      </c>
      <c r="L739" s="92" t="s">
        <v>5107</v>
      </c>
      <c r="M739" s="83">
        <f t="shared" si="1"/>
        <v>200</v>
      </c>
      <c r="N739" s="84">
        <v>200.0</v>
      </c>
      <c r="O739" s="84">
        <v>0.0</v>
      </c>
      <c r="P739" s="84">
        <v>0.0</v>
      </c>
      <c r="Q739" s="94">
        <v>2362.0</v>
      </c>
      <c r="R739" s="94">
        <v>654.0</v>
      </c>
      <c r="S739" s="95" t="s">
        <v>350</v>
      </c>
      <c r="T739" s="94">
        <v>1.0</v>
      </c>
      <c r="U739" s="96">
        <v>37078.0</v>
      </c>
      <c r="V739" s="97" t="s">
        <v>5108</v>
      </c>
      <c r="W739" s="97" t="s">
        <v>5109</v>
      </c>
      <c r="X739" s="7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  <c r="AK739" s="59"/>
      <c r="AL739" s="59"/>
      <c r="AM739" s="59"/>
      <c r="AN739" s="59"/>
      <c r="AO739" s="59"/>
      <c r="AP739" s="59"/>
      <c r="AQ739" s="59"/>
      <c r="AR739" s="59"/>
    </row>
    <row r="740" ht="19.5" customHeight="1">
      <c r="A740" s="79">
        <v>729.0</v>
      </c>
      <c r="B740" s="80" t="s">
        <v>37</v>
      </c>
      <c r="C740" s="80" t="s">
        <v>5103</v>
      </c>
      <c r="D740" s="80" t="s">
        <v>5104</v>
      </c>
      <c r="E740" s="81" t="s">
        <v>5110</v>
      </c>
      <c r="F740" s="80" t="s">
        <v>687</v>
      </c>
      <c r="G740" s="80" t="s">
        <v>42</v>
      </c>
      <c r="H740" s="80" t="s">
        <v>21</v>
      </c>
      <c r="I740" s="80" t="s">
        <v>5106</v>
      </c>
      <c r="J740" s="80" t="s">
        <v>43</v>
      </c>
      <c r="K740" s="80" t="s">
        <v>5103</v>
      </c>
      <c r="L740" s="92" t="s">
        <v>5111</v>
      </c>
      <c r="M740" s="83">
        <f t="shared" si="1"/>
        <v>240</v>
      </c>
      <c r="N740" s="84">
        <v>240.0</v>
      </c>
      <c r="O740" s="84">
        <v>0.0</v>
      </c>
      <c r="P740" s="84">
        <v>0.0</v>
      </c>
      <c r="Q740" s="94">
        <v>11546.0</v>
      </c>
      <c r="R740" s="94">
        <v>3352.79</v>
      </c>
      <c r="S740" s="95" t="s">
        <v>217</v>
      </c>
      <c r="T740" s="94">
        <v>1.0</v>
      </c>
      <c r="U740" s="96">
        <v>42366.0</v>
      </c>
      <c r="V740" s="97" t="s">
        <v>5108</v>
      </c>
      <c r="W740" s="97" t="s">
        <v>5109</v>
      </c>
      <c r="X740" s="79" t="s">
        <v>5112</v>
      </c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  <c r="AK740" s="59"/>
      <c r="AL740" s="59"/>
      <c r="AM740" s="59"/>
      <c r="AN740" s="59"/>
      <c r="AO740" s="59"/>
      <c r="AP740" s="59"/>
      <c r="AQ740" s="59"/>
      <c r="AR740" s="59"/>
    </row>
    <row r="741" ht="19.5" customHeight="1">
      <c r="A741" s="79">
        <v>730.0</v>
      </c>
      <c r="B741" s="80" t="s">
        <v>37</v>
      </c>
      <c r="C741" s="80" t="s">
        <v>5113</v>
      </c>
      <c r="D741" s="80" t="s">
        <v>5114</v>
      </c>
      <c r="E741" s="81" t="s">
        <v>5115</v>
      </c>
      <c r="F741" s="80" t="s">
        <v>687</v>
      </c>
      <c r="G741" s="80" t="s">
        <v>42</v>
      </c>
      <c r="H741" s="80" t="s">
        <v>21</v>
      </c>
      <c r="I741" s="80" t="s">
        <v>5116</v>
      </c>
      <c r="J741" s="80" t="s">
        <v>43</v>
      </c>
      <c r="K741" s="80" t="s">
        <v>5113</v>
      </c>
      <c r="L741" s="92" t="s">
        <v>5117</v>
      </c>
      <c r="M741" s="83">
        <f t="shared" si="1"/>
        <v>250</v>
      </c>
      <c r="N741" s="84">
        <v>250.0</v>
      </c>
      <c r="O741" s="84">
        <v>0.0</v>
      </c>
      <c r="P741" s="84">
        <v>0.0</v>
      </c>
      <c r="Q741" s="94">
        <v>9202.0</v>
      </c>
      <c r="R741" s="94">
        <v>4577.0</v>
      </c>
      <c r="S741" s="95" t="s">
        <v>85</v>
      </c>
      <c r="T741" s="94">
        <v>1.0</v>
      </c>
      <c r="U741" s="96">
        <v>39386.0</v>
      </c>
      <c r="V741" s="97" t="s">
        <v>5118</v>
      </c>
      <c r="W741" s="97" t="s">
        <v>5119</v>
      </c>
      <c r="X741" s="79" t="s">
        <v>5120</v>
      </c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  <c r="AK741" s="59"/>
      <c r="AL741" s="59"/>
      <c r="AM741" s="59"/>
      <c r="AN741" s="59"/>
      <c r="AO741" s="59"/>
      <c r="AP741" s="59"/>
      <c r="AQ741" s="59"/>
      <c r="AR741" s="59"/>
    </row>
    <row r="742" ht="19.5" customHeight="1">
      <c r="A742" s="79">
        <v>731.0</v>
      </c>
      <c r="B742" s="79" t="s">
        <v>37</v>
      </c>
      <c r="C742" s="79" t="s">
        <v>5113</v>
      </c>
      <c r="D742" s="79" t="s">
        <v>5114</v>
      </c>
      <c r="E742" s="102" t="s">
        <v>5121</v>
      </c>
      <c r="F742" s="79" t="s">
        <v>687</v>
      </c>
      <c r="G742" s="80" t="s">
        <v>44</v>
      </c>
      <c r="H742" s="80" t="s">
        <v>21</v>
      </c>
      <c r="I742" s="79" t="s">
        <v>5116</v>
      </c>
      <c r="J742" s="80" t="s">
        <v>43</v>
      </c>
      <c r="K742" s="79" t="s">
        <v>5113</v>
      </c>
      <c r="L742" s="102" t="s">
        <v>5122</v>
      </c>
      <c r="M742" s="83">
        <f t="shared" si="1"/>
        <v>100</v>
      </c>
      <c r="N742" s="84">
        <v>100.0</v>
      </c>
      <c r="O742" s="84">
        <v>0.0</v>
      </c>
      <c r="P742" s="84">
        <v>0.0</v>
      </c>
      <c r="Q742" s="94">
        <v>3878.0</v>
      </c>
      <c r="R742" s="94">
        <v>2967.0</v>
      </c>
      <c r="S742" s="95" t="s">
        <v>291</v>
      </c>
      <c r="T742" s="94">
        <v>2.0</v>
      </c>
      <c r="U742" s="96">
        <v>44407.0</v>
      </c>
      <c r="V742" s="97" t="s">
        <v>5123</v>
      </c>
      <c r="W742" s="97" t="s">
        <v>5124</v>
      </c>
      <c r="X742" s="79" t="s">
        <v>5120</v>
      </c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  <c r="AK742" s="59"/>
      <c r="AL742" s="59"/>
      <c r="AM742" s="59"/>
      <c r="AN742" s="59"/>
      <c r="AO742" s="59"/>
      <c r="AP742" s="59"/>
      <c r="AQ742" s="59"/>
      <c r="AR742" s="59"/>
    </row>
    <row r="743" ht="19.5" customHeight="1">
      <c r="A743" s="79">
        <v>732.0</v>
      </c>
      <c r="B743" s="80" t="s">
        <v>37</v>
      </c>
      <c r="C743" s="80" t="s">
        <v>5125</v>
      </c>
      <c r="D743" s="80" t="s">
        <v>5126</v>
      </c>
      <c r="E743" s="81" t="s">
        <v>5127</v>
      </c>
      <c r="F743" s="80" t="s">
        <v>687</v>
      </c>
      <c r="G743" s="80" t="s">
        <v>42</v>
      </c>
      <c r="H743" s="80" t="s">
        <v>21</v>
      </c>
      <c r="I743" s="80" t="s">
        <v>5128</v>
      </c>
      <c r="J743" s="80" t="s">
        <v>43</v>
      </c>
      <c r="K743" s="80" t="s">
        <v>5125</v>
      </c>
      <c r="L743" s="92" t="s">
        <v>5129</v>
      </c>
      <c r="M743" s="83">
        <f t="shared" si="1"/>
        <v>200</v>
      </c>
      <c r="N743" s="84">
        <v>200.0</v>
      </c>
      <c r="O743" s="84"/>
      <c r="P743" s="84"/>
      <c r="Q743" s="94">
        <v>23957.0</v>
      </c>
      <c r="R743" s="94">
        <v>2741.0</v>
      </c>
      <c r="S743" s="95" t="s">
        <v>314</v>
      </c>
      <c r="T743" s="94">
        <v>1.0</v>
      </c>
      <c r="U743" s="96">
        <v>40360.0</v>
      </c>
      <c r="V743" s="97" t="s">
        <v>5130</v>
      </c>
      <c r="W743" s="97" t="s">
        <v>5131</v>
      </c>
      <c r="X743" s="79" t="s">
        <v>5132</v>
      </c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  <c r="AK743" s="59"/>
      <c r="AL743" s="59"/>
      <c r="AM743" s="59"/>
      <c r="AN743" s="59"/>
      <c r="AO743" s="59"/>
      <c r="AP743" s="59"/>
      <c r="AQ743" s="59"/>
      <c r="AR743" s="59"/>
    </row>
    <row r="744" ht="19.5" customHeight="1">
      <c r="A744" s="79">
        <v>733.0</v>
      </c>
      <c r="B744" s="80" t="s">
        <v>37</v>
      </c>
      <c r="C744" s="80" t="s">
        <v>5133</v>
      </c>
      <c r="D744" s="80" t="s">
        <v>5134</v>
      </c>
      <c r="E744" s="81" t="s">
        <v>5135</v>
      </c>
      <c r="F744" s="80" t="s">
        <v>687</v>
      </c>
      <c r="G744" s="80" t="s">
        <v>42</v>
      </c>
      <c r="H744" s="80" t="s">
        <v>21</v>
      </c>
      <c r="I744" s="80" t="s">
        <v>5136</v>
      </c>
      <c r="J744" s="80" t="s">
        <v>43</v>
      </c>
      <c r="K744" s="80" t="s">
        <v>5133</v>
      </c>
      <c r="L744" s="92" t="s">
        <v>5137</v>
      </c>
      <c r="M744" s="83">
        <f t="shared" si="1"/>
        <v>340</v>
      </c>
      <c r="N744" s="84">
        <v>340.0</v>
      </c>
      <c r="O744" s="84"/>
      <c r="P744" s="84"/>
      <c r="Q744" s="94">
        <v>5000.0</v>
      </c>
      <c r="R744" s="94">
        <v>4243.68</v>
      </c>
      <c r="S744" s="95" t="s">
        <v>380</v>
      </c>
      <c r="T744" s="94">
        <v>1.0</v>
      </c>
      <c r="U744" s="96">
        <v>41485.0</v>
      </c>
      <c r="V744" s="97" t="s">
        <v>5138</v>
      </c>
      <c r="W744" s="97" t="s">
        <v>5139</v>
      </c>
      <c r="X744" s="79" t="s">
        <v>5140</v>
      </c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  <c r="AK744" s="59"/>
      <c r="AL744" s="59"/>
      <c r="AM744" s="59"/>
      <c r="AN744" s="59"/>
      <c r="AO744" s="59"/>
      <c r="AP744" s="59"/>
      <c r="AQ744" s="59"/>
      <c r="AR744" s="59"/>
    </row>
    <row r="745" ht="19.5" customHeight="1">
      <c r="A745" s="79">
        <v>734.0</v>
      </c>
      <c r="B745" s="80" t="s">
        <v>37</v>
      </c>
      <c r="C745" s="80" t="s">
        <v>5141</v>
      </c>
      <c r="D745" s="80" t="s">
        <v>5142</v>
      </c>
      <c r="E745" s="81" t="s">
        <v>5143</v>
      </c>
      <c r="F745" s="80" t="s">
        <v>687</v>
      </c>
      <c r="G745" s="80" t="s">
        <v>42</v>
      </c>
      <c r="H745" s="80" t="s">
        <v>21</v>
      </c>
      <c r="I745" s="80" t="s">
        <v>5144</v>
      </c>
      <c r="J745" s="80" t="s">
        <v>43</v>
      </c>
      <c r="K745" s="80" t="s">
        <v>5145</v>
      </c>
      <c r="L745" s="92" t="s">
        <v>5146</v>
      </c>
      <c r="M745" s="83">
        <f t="shared" si="1"/>
        <v>320</v>
      </c>
      <c r="N745" s="84">
        <v>275.0</v>
      </c>
      <c r="O745" s="84">
        <v>45.0</v>
      </c>
      <c r="P745" s="84"/>
      <c r="Q745" s="94">
        <v>25243.0</v>
      </c>
      <c r="R745" s="94">
        <v>6671.0</v>
      </c>
      <c r="S745" s="95" t="s">
        <v>103</v>
      </c>
      <c r="T745" s="94">
        <v>1.0</v>
      </c>
      <c r="U745" s="96">
        <v>36650.0</v>
      </c>
      <c r="V745" s="97" t="s">
        <v>5147</v>
      </c>
      <c r="W745" s="97" t="s">
        <v>5148</v>
      </c>
      <c r="X745" s="79" t="s">
        <v>5149</v>
      </c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  <c r="AK745" s="59"/>
      <c r="AL745" s="59"/>
      <c r="AM745" s="59"/>
      <c r="AN745" s="59"/>
      <c r="AO745" s="59"/>
      <c r="AP745" s="59"/>
      <c r="AQ745" s="59"/>
      <c r="AR745" s="59"/>
    </row>
    <row r="746" ht="19.5" customHeight="1">
      <c r="A746" s="79">
        <v>735.0</v>
      </c>
      <c r="B746" s="80" t="s">
        <v>37</v>
      </c>
      <c r="C746" s="80" t="s">
        <v>5141</v>
      </c>
      <c r="D746" s="80" t="s">
        <v>5150</v>
      </c>
      <c r="E746" s="81" t="s">
        <v>5151</v>
      </c>
      <c r="F746" s="80" t="s">
        <v>22</v>
      </c>
      <c r="G746" s="80" t="s">
        <v>12</v>
      </c>
      <c r="H746" s="80" t="s">
        <v>22</v>
      </c>
      <c r="I746" s="80" t="s">
        <v>5152</v>
      </c>
      <c r="J746" s="80" t="s">
        <v>43</v>
      </c>
      <c r="K746" s="80" t="s">
        <v>5153</v>
      </c>
      <c r="L746" s="92" t="s">
        <v>5154</v>
      </c>
      <c r="M746" s="83">
        <f t="shared" si="1"/>
        <v>0</v>
      </c>
      <c r="N746" s="84"/>
      <c r="O746" s="84"/>
      <c r="P746" s="84"/>
      <c r="Q746" s="94"/>
      <c r="R746" s="94"/>
      <c r="S746" s="95"/>
      <c r="T746" s="94"/>
      <c r="U746" s="96"/>
      <c r="V746" s="97"/>
      <c r="W746" s="97"/>
      <c r="X746" s="7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  <c r="AK746" s="59"/>
      <c r="AL746" s="59"/>
      <c r="AM746" s="59"/>
      <c r="AN746" s="59"/>
      <c r="AO746" s="59"/>
      <c r="AP746" s="59"/>
      <c r="AQ746" s="59"/>
      <c r="AR746" s="59"/>
    </row>
    <row r="747" ht="19.5" customHeight="1">
      <c r="A747" s="79">
        <v>736.0</v>
      </c>
      <c r="B747" s="80" t="s">
        <v>37</v>
      </c>
      <c r="C747" s="80" t="s">
        <v>5141</v>
      </c>
      <c r="D747" s="80" t="s">
        <v>5150</v>
      </c>
      <c r="E747" s="81" t="s">
        <v>5155</v>
      </c>
      <c r="F747" s="80" t="s">
        <v>687</v>
      </c>
      <c r="G747" s="80" t="s">
        <v>44</v>
      </c>
      <c r="H747" s="80" t="s">
        <v>21</v>
      </c>
      <c r="I747" s="80" t="s">
        <v>5144</v>
      </c>
      <c r="J747" s="80" t="s">
        <v>43</v>
      </c>
      <c r="K747" s="80" t="s">
        <v>5141</v>
      </c>
      <c r="L747" s="92" t="s">
        <v>5156</v>
      </c>
      <c r="M747" s="83">
        <f t="shared" si="1"/>
        <v>100</v>
      </c>
      <c r="N747" s="84">
        <v>100.0</v>
      </c>
      <c r="O747" s="84"/>
      <c r="P747" s="84"/>
      <c r="Q747" s="94">
        <v>962.0</v>
      </c>
      <c r="R747" s="94">
        <v>1318.0</v>
      </c>
      <c r="S747" s="95" t="s">
        <v>314</v>
      </c>
      <c r="T747" s="94">
        <v>1.0</v>
      </c>
      <c r="U747" s="96">
        <v>43512.0</v>
      </c>
      <c r="V747" s="97" t="s">
        <v>5157</v>
      </c>
      <c r="W747" s="97" t="s">
        <v>5158</v>
      </c>
      <c r="X747" s="79" t="s">
        <v>5159</v>
      </c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  <c r="AK747" s="59"/>
      <c r="AL747" s="59"/>
      <c r="AM747" s="59"/>
      <c r="AN747" s="59"/>
      <c r="AO747" s="59"/>
      <c r="AP747" s="59"/>
      <c r="AQ747" s="59"/>
      <c r="AR747" s="59"/>
    </row>
    <row r="748" ht="19.5" customHeight="1">
      <c r="A748" s="79">
        <v>737.0</v>
      </c>
      <c r="B748" s="80" t="s">
        <v>37</v>
      </c>
      <c r="C748" s="80" t="s">
        <v>5160</v>
      </c>
      <c r="D748" s="80" t="s">
        <v>1738</v>
      </c>
      <c r="E748" s="81" t="s">
        <v>5161</v>
      </c>
      <c r="F748" s="80" t="s">
        <v>81</v>
      </c>
      <c r="G748" s="80" t="s">
        <v>44</v>
      </c>
      <c r="H748" s="80" t="s">
        <v>21</v>
      </c>
      <c r="I748" s="80" t="s">
        <v>5162</v>
      </c>
      <c r="J748" s="80" t="s">
        <v>45</v>
      </c>
      <c r="K748" s="80" t="s">
        <v>5163</v>
      </c>
      <c r="L748" s="92" t="s">
        <v>5164</v>
      </c>
      <c r="M748" s="83">
        <f t="shared" si="1"/>
        <v>240</v>
      </c>
      <c r="N748" s="84">
        <v>240.0</v>
      </c>
      <c r="O748" s="84">
        <v>0.0</v>
      </c>
      <c r="P748" s="84">
        <v>0.0</v>
      </c>
      <c r="Q748" s="94">
        <v>6996.16</v>
      </c>
      <c r="R748" s="94">
        <v>8275.0</v>
      </c>
      <c r="S748" s="95" t="s">
        <v>320</v>
      </c>
      <c r="T748" s="94">
        <v>1.0</v>
      </c>
      <c r="U748" s="96">
        <v>44881.0</v>
      </c>
      <c r="V748" s="97" t="s">
        <v>5165</v>
      </c>
      <c r="W748" s="97" t="s">
        <v>5166</v>
      </c>
      <c r="X748" s="79" t="s">
        <v>5167</v>
      </c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  <c r="AK748" s="59"/>
      <c r="AL748" s="59"/>
      <c r="AM748" s="59"/>
      <c r="AN748" s="59"/>
      <c r="AO748" s="59"/>
      <c r="AP748" s="59"/>
      <c r="AQ748" s="59"/>
      <c r="AR748" s="59"/>
    </row>
    <row r="749" ht="19.5" customHeight="1">
      <c r="A749" s="79">
        <v>738.0</v>
      </c>
      <c r="B749" s="80" t="s">
        <v>37</v>
      </c>
      <c r="C749" s="80" t="s">
        <v>5160</v>
      </c>
      <c r="D749" s="80" t="s">
        <v>5168</v>
      </c>
      <c r="E749" s="81" t="s">
        <v>5169</v>
      </c>
      <c r="F749" s="80" t="s">
        <v>81</v>
      </c>
      <c r="G749" s="80" t="s">
        <v>42</v>
      </c>
      <c r="H749" s="80" t="s">
        <v>21</v>
      </c>
      <c r="I749" s="80" t="s">
        <v>5162</v>
      </c>
      <c r="J749" s="80" t="s">
        <v>45</v>
      </c>
      <c r="K749" s="80" t="s">
        <v>5163</v>
      </c>
      <c r="L749" s="92" t="s">
        <v>5170</v>
      </c>
      <c r="M749" s="83">
        <f t="shared" si="1"/>
        <v>500</v>
      </c>
      <c r="N749" s="84">
        <v>500.0</v>
      </c>
      <c r="O749" s="84">
        <v>0.0</v>
      </c>
      <c r="P749" s="84">
        <v>0.0</v>
      </c>
      <c r="Q749" s="94">
        <v>12352.0</v>
      </c>
      <c r="R749" s="94">
        <v>4067.0</v>
      </c>
      <c r="S749" s="95" t="s">
        <v>103</v>
      </c>
      <c r="T749" s="94">
        <v>1.0</v>
      </c>
      <c r="U749" s="96">
        <v>35868.0</v>
      </c>
      <c r="V749" s="97" t="s">
        <v>5171</v>
      </c>
      <c r="W749" s="97" t="s">
        <v>5172</v>
      </c>
      <c r="X749" s="79" t="s">
        <v>5167</v>
      </c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  <c r="AK749" s="59"/>
      <c r="AL749" s="59"/>
      <c r="AM749" s="59"/>
      <c r="AN749" s="59"/>
      <c r="AO749" s="59"/>
      <c r="AP749" s="59"/>
      <c r="AQ749" s="59"/>
      <c r="AR749" s="59"/>
    </row>
    <row r="750" ht="19.5" customHeight="1">
      <c r="A750" s="79">
        <v>739.0</v>
      </c>
      <c r="B750" s="80" t="s">
        <v>37</v>
      </c>
      <c r="C750" s="80" t="s">
        <v>5160</v>
      </c>
      <c r="D750" s="80" t="s">
        <v>5173</v>
      </c>
      <c r="E750" s="81" t="s">
        <v>5174</v>
      </c>
      <c r="F750" s="80" t="s">
        <v>81</v>
      </c>
      <c r="G750" s="80" t="s">
        <v>46</v>
      </c>
      <c r="H750" s="80" t="s">
        <v>21</v>
      </c>
      <c r="I750" s="80" t="s">
        <v>5162</v>
      </c>
      <c r="J750" s="80" t="s">
        <v>45</v>
      </c>
      <c r="K750" s="80" t="s">
        <v>5163</v>
      </c>
      <c r="L750" s="92" t="s">
        <v>5175</v>
      </c>
      <c r="M750" s="83">
        <f t="shared" si="1"/>
        <v>390</v>
      </c>
      <c r="N750" s="84">
        <v>0.0</v>
      </c>
      <c r="O750" s="84">
        <v>290.0</v>
      </c>
      <c r="P750" s="84">
        <v>100.0</v>
      </c>
      <c r="Q750" s="94">
        <v>98739.0</v>
      </c>
      <c r="R750" s="94">
        <v>5006.0</v>
      </c>
      <c r="S750" s="95" t="s">
        <v>5176</v>
      </c>
      <c r="T750" s="94">
        <v>3.0</v>
      </c>
      <c r="U750" s="96">
        <v>35996.0</v>
      </c>
      <c r="V750" s="97" t="s">
        <v>5177</v>
      </c>
      <c r="W750" s="97" t="s">
        <v>5178</v>
      </c>
      <c r="X750" s="79" t="s">
        <v>5167</v>
      </c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  <c r="AK750" s="59"/>
      <c r="AL750" s="59"/>
      <c r="AM750" s="59"/>
      <c r="AN750" s="59"/>
      <c r="AO750" s="59"/>
      <c r="AP750" s="59"/>
      <c r="AQ750" s="59"/>
      <c r="AR750" s="59"/>
    </row>
    <row r="751" ht="19.5" customHeight="1">
      <c r="A751" s="79">
        <v>740.0</v>
      </c>
      <c r="B751" s="79" t="s">
        <v>38</v>
      </c>
      <c r="C751" s="79" t="s">
        <v>5179</v>
      </c>
      <c r="D751" s="79" t="s">
        <v>5180</v>
      </c>
      <c r="E751" s="93" t="s">
        <v>5181</v>
      </c>
      <c r="F751" s="79" t="s">
        <v>5182</v>
      </c>
      <c r="G751" s="80" t="s">
        <v>46</v>
      </c>
      <c r="H751" s="80" t="s">
        <v>22</v>
      </c>
      <c r="I751" s="79" t="s">
        <v>5183</v>
      </c>
      <c r="J751" s="80" t="s">
        <v>43</v>
      </c>
      <c r="K751" s="79"/>
      <c r="L751" s="92" t="s">
        <v>5184</v>
      </c>
      <c r="M751" s="83">
        <f t="shared" si="1"/>
        <v>324</v>
      </c>
      <c r="N751" s="84"/>
      <c r="O751" s="84">
        <v>324.0</v>
      </c>
      <c r="P751" s="84"/>
      <c r="Q751" s="94">
        <v>3939.0</v>
      </c>
      <c r="R751" s="94">
        <v>3138.0</v>
      </c>
      <c r="S751" s="95" t="s">
        <v>5185</v>
      </c>
      <c r="T751" s="94">
        <v>1.0</v>
      </c>
      <c r="U751" s="96">
        <v>40388.0</v>
      </c>
      <c r="V751" s="97" t="s">
        <v>5186</v>
      </c>
      <c r="W751" s="97" t="s">
        <v>5187</v>
      </c>
      <c r="X751" s="79" t="s">
        <v>5188</v>
      </c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  <c r="AK751" s="59"/>
      <c r="AL751" s="59"/>
      <c r="AM751" s="59"/>
      <c r="AN751" s="59"/>
      <c r="AO751" s="59"/>
      <c r="AP751" s="59"/>
      <c r="AQ751" s="59"/>
      <c r="AR751" s="59"/>
    </row>
    <row r="752" ht="19.5" customHeight="1">
      <c r="A752" s="79">
        <v>741.0</v>
      </c>
      <c r="B752" s="79" t="s">
        <v>38</v>
      </c>
      <c r="C752" s="79" t="s">
        <v>5189</v>
      </c>
      <c r="D752" s="79" t="s">
        <v>5190</v>
      </c>
      <c r="E752" s="93" t="s">
        <v>5191</v>
      </c>
      <c r="F752" s="79" t="s">
        <v>81</v>
      </c>
      <c r="G752" s="80" t="s">
        <v>42</v>
      </c>
      <c r="H752" s="80" t="s">
        <v>21</v>
      </c>
      <c r="I752" s="79" t="s">
        <v>5192</v>
      </c>
      <c r="J752" s="80" t="s">
        <v>47</v>
      </c>
      <c r="K752" s="79" t="s">
        <v>5193</v>
      </c>
      <c r="L752" s="92" t="s">
        <v>5194</v>
      </c>
      <c r="M752" s="83">
        <f t="shared" si="1"/>
        <v>1039</v>
      </c>
      <c r="N752" s="84">
        <v>1039.0</v>
      </c>
      <c r="O752" s="84"/>
      <c r="P752" s="84"/>
      <c r="Q752" s="94">
        <v>7630.0</v>
      </c>
      <c r="R752" s="94">
        <v>4862.0</v>
      </c>
      <c r="S752" s="95" t="s">
        <v>786</v>
      </c>
      <c r="T752" s="94">
        <v>1.0</v>
      </c>
      <c r="U752" s="96">
        <v>37554.0</v>
      </c>
      <c r="V752" s="97" t="s">
        <v>5195</v>
      </c>
      <c r="W752" s="97" t="s">
        <v>5196</v>
      </c>
      <c r="X752" s="79" t="s">
        <v>5197</v>
      </c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  <c r="AK752" s="59"/>
      <c r="AL752" s="59"/>
      <c r="AM752" s="59"/>
      <c r="AN752" s="59"/>
      <c r="AO752" s="59"/>
      <c r="AP752" s="59"/>
      <c r="AQ752" s="59"/>
      <c r="AR752" s="59"/>
    </row>
    <row r="753" ht="19.5" customHeight="1">
      <c r="A753" s="79">
        <v>742.0</v>
      </c>
      <c r="B753" s="79" t="s">
        <v>38</v>
      </c>
      <c r="C753" s="79" t="s">
        <v>5189</v>
      </c>
      <c r="D753" s="79" t="s">
        <v>5198</v>
      </c>
      <c r="E753" s="93" t="s">
        <v>5199</v>
      </c>
      <c r="F753" s="79" t="s">
        <v>22</v>
      </c>
      <c r="G753" s="80" t="s">
        <v>12</v>
      </c>
      <c r="H753" s="80" t="s">
        <v>22</v>
      </c>
      <c r="I753" s="79" t="s">
        <v>5200</v>
      </c>
      <c r="J753" s="80" t="s">
        <v>43</v>
      </c>
      <c r="K753" s="79"/>
      <c r="L753" s="92" t="s">
        <v>5201</v>
      </c>
      <c r="M753" s="83">
        <f t="shared" si="1"/>
        <v>401</v>
      </c>
      <c r="N753" s="84"/>
      <c r="O753" s="84">
        <v>401.0</v>
      </c>
      <c r="P753" s="84"/>
      <c r="Q753" s="94">
        <v>32203.0</v>
      </c>
      <c r="R753" s="94" t="s">
        <v>5202</v>
      </c>
      <c r="S753" s="95" t="s">
        <v>314</v>
      </c>
      <c r="T753" s="94">
        <v>6.0</v>
      </c>
      <c r="U753" s="96">
        <v>36879.0</v>
      </c>
      <c r="V753" s="97" t="s">
        <v>5203</v>
      </c>
      <c r="W753" s="97" t="s">
        <v>5204</v>
      </c>
      <c r="X753" s="79" t="s">
        <v>5205</v>
      </c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  <c r="AK753" s="59"/>
      <c r="AL753" s="59"/>
      <c r="AM753" s="59"/>
      <c r="AN753" s="59"/>
      <c r="AO753" s="59"/>
      <c r="AP753" s="59"/>
      <c r="AQ753" s="59"/>
      <c r="AR753" s="59"/>
    </row>
    <row r="754" ht="19.5" customHeight="1">
      <c r="A754" s="79">
        <v>743.0</v>
      </c>
      <c r="B754" s="79" t="s">
        <v>38</v>
      </c>
      <c r="C754" s="79" t="s">
        <v>5189</v>
      </c>
      <c r="D754" s="79" t="s">
        <v>5206</v>
      </c>
      <c r="E754" s="93" t="s">
        <v>5207</v>
      </c>
      <c r="F754" s="79" t="s">
        <v>22</v>
      </c>
      <c r="G754" s="80" t="s">
        <v>46</v>
      </c>
      <c r="H754" s="80" t="s">
        <v>22</v>
      </c>
      <c r="I754" s="79" t="s">
        <v>5208</v>
      </c>
      <c r="J754" s="80" t="s">
        <v>43</v>
      </c>
      <c r="K754" s="79"/>
      <c r="L754" s="92" t="s">
        <v>5209</v>
      </c>
      <c r="M754" s="83">
        <f t="shared" si="1"/>
        <v>567</v>
      </c>
      <c r="N754" s="84"/>
      <c r="O754" s="84">
        <v>567.0</v>
      </c>
      <c r="P754" s="84"/>
      <c r="Q754" s="94">
        <v>6817.0</v>
      </c>
      <c r="R754" s="94">
        <v>2388.0</v>
      </c>
      <c r="S754" s="95" t="s">
        <v>5210</v>
      </c>
      <c r="T754" s="94">
        <v>11.0</v>
      </c>
      <c r="U754" s="96">
        <v>36983.0</v>
      </c>
      <c r="V754" s="97" t="s">
        <v>5211</v>
      </c>
      <c r="W754" s="97" t="s">
        <v>5212</v>
      </c>
      <c r="X754" s="79" t="s">
        <v>5213</v>
      </c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  <c r="AK754" s="59"/>
      <c r="AL754" s="59"/>
      <c r="AM754" s="59"/>
      <c r="AN754" s="59"/>
      <c r="AO754" s="59"/>
      <c r="AP754" s="59"/>
      <c r="AQ754" s="59"/>
      <c r="AR754" s="59"/>
    </row>
    <row r="755" ht="19.5" customHeight="1">
      <c r="A755" s="79">
        <v>744.0</v>
      </c>
      <c r="B755" s="79" t="s">
        <v>38</v>
      </c>
      <c r="C755" s="79" t="s">
        <v>5189</v>
      </c>
      <c r="D755" s="79" t="s">
        <v>5214</v>
      </c>
      <c r="E755" s="93" t="s">
        <v>5215</v>
      </c>
      <c r="F755" s="79" t="s">
        <v>22</v>
      </c>
      <c r="G755" s="80" t="s">
        <v>12</v>
      </c>
      <c r="H755" s="80" t="s">
        <v>22</v>
      </c>
      <c r="I755" s="79" t="s">
        <v>5216</v>
      </c>
      <c r="J755" s="80" t="s">
        <v>43</v>
      </c>
      <c r="K755" s="79" t="s">
        <v>5217</v>
      </c>
      <c r="L755" s="92" t="s">
        <v>5218</v>
      </c>
      <c r="M755" s="83">
        <f t="shared" si="1"/>
        <v>314</v>
      </c>
      <c r="N755" s="84"/>
      <c r="O755" s="84">
        <v>314.0</v>
      </c>
      <c r="P755" s="84"/>
      <c r="Q755" s="94">
        <v>9800.0</v>
      </c>
      <c r="R755" s="94">
        <v>5984.0</v>
      </c>
      <c r="S755" s="95" t="s">
        <v>1711</v>
      </c>
      <c r="T755" s="94">
        <v>1.0</v>
      </c>
      <c r="U755" s="96">
        <v>38474.0</v>
      </c>
      <c r="V755" s="97" t="s">
        <v>5219</v>
      </c>
      <c r="W755" s="97"/>
      <c r="X755" s="79" t="s">
        <v>5220</v>
      </c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  <c r="AK755" s="59"/>
      <c r="AL755" s="59"/>
      <c r="AM755" s="59"/>
      <c r="AN755" s="59"/>
      <c r="AO755" s="59"/>
      <c r="AP755" s="59"/>
      <c r="AQ755" s="59"/>
      <c r="AR755" s="59"/>
    </row>
    <row r="756" ht="19.5" customHeight="1">
      <c r="A756" s="79">
        <v>745.0</v>
      </c>
      <c r="B756" s="79" t="s">
        <v>38</v>
      </c>
      <c r="C756" s="79" t="s">
        <v>5189</v>
      </c>
      <c r="D756" s="79" t="s">
        <v>5190</v>
      </c>
      <c r="E756" s="93" t="s">
        <v>5221</v>
      </c>
      <c r="F756" s="79" t="s">
        <v>81</v>
      </c>
      <c r="G756" s="80" t="s">
        <v>44</v>
      </c>
      <c r="H756" s="80" t="s">
        <v>21</v>
      </c>
      <c r="I756" s="79" t="s">
        <v>5192</v>
      </c>
      <c r="J756" s="80" t="s">
        <v>47</v>
      </c>
      <c r="K756" s="79" t="s">
        <v>5193</v>
      </c>
      <c r="L756" s="92" t="s">
        <v>5222</v>
      </c>
      <c r="M756" s="83">
        <f t="shared" si="1"/>
        <v>250</v>
      </c>
      <c r="N756" s="84">
        <v>250.0</v>
      </c>
      <c r="O756" s="84"/>
      <c r="P756" s="84"/>
      <c r="Q756" s="94">
        <v>540.0</v>
      </c>
      <c r="R756" s="94">
        <v>1142.0</v>
      </c>
      <c r="S756" s="95" t="s">
        <v>194</v>
      </c>
      <c r="T756" s="94">
        <v>1.0</v>
      </c>
      <c r="U756" s="96">
        <v>42143.0</v>
      </c>
      <c r="V756" s="97" t="s">
        <v>5223</v>
      </c>
      <c r="W756" s="97" t="s">
        <v>5224</v>
      </c>
      <c r="X756" s="79" t="s">
        <v>5197</v>
      </c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  <c r="AK756" s="59"/>
      <c r="AL756" s="59"/>
      <c r="AM756" s="59"/>
      <c r="AN756" s="59"/>
      <c r="AO756" s="59"/>
      <c r="AP756" s="59"/>
      <c r="AQ756" s="59"/>
      <c r="AR756" s="59"/>
    </row>
    <row r="757" ht="19.5" customHeight="1">
      <c r="A757" s="79">
        <v>746.0</v>
      </c>
      <c r="B757" s="79" t="s">
        <v>38</v>
      </c>
      <c r="C757" s="79" t="s">
        <v>5189</v>
      </c>
      <c r="D757" s="79" t="s">
        <v>5225</v>
      </c>
      <c r="E757" s="93" t="s">
        <v>5226</v>
      </c>
      <c r="F757" s="79" t="s">
        <v>81</v>
      </c>
      <c r="G757" s="80" t="s">
        <v>44</v>
      </c>
      <c r="H757" s="80" t="s">
        <v>21</v>
      </c>
      <c r="I757" s="79" t="s">
        <v>5192</v>
      </c>
      <c r="J757" s="80" t="s">
        <v>47</v>
      </c>
      <c r="K757" s="79" t="s">
        <v>5193</v>
      </c>
      <c r="L757" s="92" t="s">
        <v>5227</v>
      </c>
      <c r="M757" s="83">
        <f t="shared" si="1"/>
        <v>180</v>
      </c>
      <c r="N757" s="84">
        <v>180.0</v>
      </c>
      <c r="O757" s="84"/>
      <c r="P757" s="84"/>
      <c r="Q757" s="94">
        <v>1379.0</v>
      </c>
      <c r="R757" s="94">
        <v>684.0</v>
      </c>
      <c r="S757" s="95" t="s">
        <v>3091</v>
      </c>
      <c r="T757" s="94">
        <v>1.0</v>
      </c>
      <c r="U757" s="96">
        <v>38349.0</v>
      </c>
      <c r="V757" s="97" t="s">
        <v>5228</v>
      </c>
      <c r="W757" s="97" t="s">
        <v>5229</v>
      </c>
      <c r="X757" s="79" t="s">
        <v>5197</v>
      </c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  <c r="AK757" s="59"/>
      <c r="AL757" s="59"/>
      <c r="AM757" s="59"/>
      <c r="AN757" s="59"/>
      <c r="AO757" s="59"/>
      <c r="AP757" s="59"/>
      <c r="AQ757" s="59"/>
      <c r="AR757" s="59"/>
    </row>
    <row r="758" ht="19.5" customHeight="1">
      <c r="A758" s="79">
        <v>747.0</v>
      </c>
      <c r="B758" s="91" t="s">
        <v>38</v>
      </c>
      <c r="C758" s="91" t="s">
        <v>5189</v>
      </c>
      <c r="D758" s="91" t="s">
        <v>5198</v>
      </c>
      <c r="E758" s="82" t="s">
        <v>5230</v>
      </c>
      <c r="F758" s="91" t="s">
        <v>22</v>
      </c>
      <c r="G758" s="80" t="s">
        <v>12</v>
      </c>
      <c r="H758" s="80" t="s">
        <v>22</v>
      </c>
      <c r="I758" s="91" t="s">
        <v>5231</v>
      </c>
      <c r="J758" s="80" t="s">
        <v>43</v>
      </c>
      <c r="K758" s="79"/>
      <c r="L758" s="102" t="s">
        <v>5232</v>
      </c>
      <c r="M758" s="83">
        <f t="shared" si="1"/>
        <v>220</v>
      </c>
      <c r="N758" s="84">
        <v>220.0</v>
      </c>
      <c r="O758" s="84"/>
      <c r="P758" s="84"/>
      <c r="Q758" s="94">
        <v>902.0</v>
      </c>
      <c r="R758" s="94">
        <v>1909.0</v>
      </c>
      <c r="S758" s="95" t="s">
        <v>314</v>
      </c>
      <c r="T758" s="94">
        <v>2.0</v>
      </c>
      <c r="U758" s="96">
        <v>44735.0</v>
      </c>
      <c r="V758" s="97" t="s">
        <v>5233</v>
      </c>
      <c r="W758" s="97"/>
      <c r="X758" s="79" t="s">
        <v>5234</v>
      </c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  <c r="AK758" s="59"/>
      <c r="AL758" s="59"/>
      <c r="AM758" s="59"/>
      <c r="AN758" s="59"/>
      <c r="AO758" s="59"/>
      <c r="AP758" s="59"/>
      <c r="AQ758" s="59"/>
      <c r="AR758" s="59"/>
    </row>
    <row r="759" ht="19.5" customHeight="1">
      <c r="A759" s="79">
        <v>748.0</v>
      </c>
      <c r="B759" s="91" t="s">
        <v>38</v>
      </c>
      <c r="C759" s="91" t="s">
        <v>5189</v>
      </c>
      <c r="D759" s="91" t="s">
        <v>5235</v>
      </c>
      <c r="E759" s="82" t="s">
        <v>5236</v>
      </c>
      <c r="F759" s="91" t="s">
        <v>81</v>
      </c>
      <c r="G759" s="80" t="s">
        <v>44</v>
      </c>
      <c r="H759" s="80" t="s">
        <v>21</v>
      </c>
      <c r="I759" s="91" t="s">
        <v>5192</v>
      </c>
      <c r="J759" s="80" t="s">
        <v>43</v>
      </c>
      <c r="K759" s="79" t="s">
        <v>5237</v>
      </c>
      <c r="L759" s="102" t="s">
        <v>5238</v>
      </c>
      <c r="M759" s="83">
        <f t="shared" si="1"/>
        <v>220</v>
      </c>
      <c r="N759" s="84">
        <v>220.0</v>
      </c>
      <c r="O759" s="84"/>
      <c r="P759" s="84"/>
      <c r="Q759" s="94">
        <v>780.0</v>
      </c>
      <c r="R759" s="94">
        <v>1409.0</v>
      </c>
      <c r="S759" s="95" t="s">
        <v>217</v>
      </c>
      <c r="T759" s="94">
        <v>1.0</v>
      </c>
      <c r="U759" s="96">
        <v>44907.0</v>
      </c>
      <c r="V759" s="97" t="s">
        <v>5239</v>
      </c>
      <c r="W759" s="97" t="s">
        <v>5240</v>
      </c>
      <c r="X759" s="79" t="s">
        <v>5197</v>
      </c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  <c r="AK759" s="59"/>
      <c r="AL759" s="59"/>
      <c r="AM759" s="59"/>
      <c r="AN759" s="59"/>
      <c r="AO759" s="59"/>
      <c r="AP759" s="59"/>
      <c r="AQ759" s="59"/>
      <c r="AR759" s="59"/>
    </row>
    <row r="760" ht="19.5" customHeight="1">
      <c r="A760" s="79">
        <v>749.0</v>
      </c>
      <c r="B760" s="79" t="s">
        <v>38</v>
      </c>
      <c r="C760" s="79" t="s">
        <v>5241</v>
      </c>
      <c r="D760" s="79" t="s">
        <v>5242</v>
      </c>
      <c r="E760" s="93" t="s">
        <v>5243</v>
      </c>
      <c r="F760" s="79" t="s">
        <v>687</v>
      </c>
      <c r="G760" s="80" t="s">
        <v>42</v>
      </c>
      <c r="H760" s="80" t="s">
        <v>21</v>
      </c>
      <c r="I760" s="79" t="s">
        <v>5244</v>
      </c>
      <c r="J760" s="80" t="s">
        <v>43</v>
      </c>
      <c r="K760" s="79" t="s">
        <v>5241</v>
      </c>
      <c r="L760" s="92" t="s">
        <v>5245</v>
      </c>
      <c r="M760" s="83">
        <f t="shared" si="1"/>
        <v>300</v>
      </c>
      <c r="N760" s="84">
        <v>300.0</v>
      </c>
      <c r="O760" s="84">
        <v>0.0</v>
      </c>
      <c r="P760" s="84">
        <v>0.0</v>
      </c>
      <c r="Q760" s="94">
        <v>56380.0</v>
      </c>
      <c r="R760" s="94">
        <v>3054.0</v>
      </c>
      <c r="S760" s="95" t="s">
        <v>786</v>
      </c>
      <c r="T760" s="94">
        <v>1.0</v>
      </c>
      <c r="U760" s="96">
        <v>41491.0</v>
      </c>
      <c r="V760" s="97" t="s">
        <v>5246</v>
      </c>
      <c r="W760" s="97" t="s">
        <v>5247</v>
      </c>
      <c r="X760" s="79" t="s">
        <v>5248</v>
      </c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  <c r="AK760" s="59"/>
      <c r="AL760" s="59"/>
      <c r="AM760" s="59"/>
      <c r="AN760" s="59"/>
      <c r="AO760" s="59"/>
      <c r="AP760" s="59"/>
      <c r="AQ760" s="59"/>
      <c r="AR760" s="59"/>
    </row>
    <row r="761" ht="19.5" customHeight="1">
      <c r="A761" s="79">
        <v>750.0</v>
      </c>
      <c r="B761" s="79" t="s">
        <v>38</v>
      </c>
      <c r="C761" s="79" t="s">
        <v>5241</v>
      </c>
      <c r="D761" s="79" t="s">
        <v>5242</v>
      </c>
      <c r="E761" s="93" t="s">
        <v>5249</v>
      </c>
      <c r="F761" s="79" t="s">
        <v>687</v>
      </c>
      <c r="G761" s="80" t="s">
        <v>44</v>
      </c>
      <c r="H761" s="80" t="s">
        <v>21</v>
      </c>
      <c r="I761" s="79" t="s">
        <v>5244</v>
      </c>
      <c r="J761" s="80" t="s">
        <v>43</v>
      </c>
      <c r="K761" s="79" t="s">
        <v>5241</v>
      </c>
      <c r="L761" s="92" t="s">
        <v>5250</v>
      </c>
      <c r="M761" s="83">
        <f t="shared" si="1"/>
        <v>131</v>
      </c>
      <c r="N761" s="84">
        <v>131.0</v>
      </c>
      <c r="O761" s="84">
        <v>0.0</v>
      </c>
      <c r="P761" s="84">
        <v>0.0</v>
      </c>
      <c r="Q761" s="94">
        <v>1013.0</v>
      </c>
      <c r="R761" s="94">
        <v>928.0</v>
      </c>
      <c r="S761" s="95" t="s">
        <v>217</v>
      </c>
      <c r="T761" s="94">
        <v>1.0</v>
      </c>
      <c r="U761" s="96">
        <v>37072.0</v>
      </c>
      <c r="V761" s="97" t="s">
        <v>5251</v>
      </c>
      <c r="W761" s="97" t="s">
        <v>5252</v>
      </c>
      <c r="X761" s="79" t="s">
        <v>5253</v>
      </c>
      <c r="Y761" s="133"/>
      <c r="Z761" s="133"/>
      <c r="AA761" s="133"/>
      <c r="AB761" s="133"/>
      <c r="AC761" s="133"/>
      <c r="AD761" s="133"/>
      <c r="AE761" s="133"/>
      <c r="AF761" s="133"/>
      <c r="AG761" s="133"/>
      <c r="AH761" s="133"/>
      <c r="AI761" s="133"/>
      <c r="AJ761" s="133"/>
      <c r="AK761" s="133"/>
      <c r="AL761" s="133"/>
      <c r="AM761" s="133"/>
      <c r="AN761" s="133"/>
      <c r="AO761" s="133"/>
      <c r="AP761" s="133"/>
      <c r="AQ761" s="133"/>
      <c r="AR761" s="133"/>
    </row>
    <row r="762" ht="19.5" customHeight="1">
      <c r="A762" s="79">
        <v>751.0</v>
      </c>
      <c r="B762" s="79" t="s">
        <v>38</v>
      </c>
      <c r="C762" s="79" t="s">
        <v>5241</v>
      </c>
      <c r="D762" s="79" t="s">
        <v>5254</v>
      </c>
      <c r="E762" s="93" t="s">
        <v>5255</v>
      </c>
      <c r="F762" s="79" t="s">
        <v>687</v>
      </c>
      <c r="G762" s="80" t="s">
        <v>46</v>
      </c>
      <c r="H762" s="80" t="s">
        <v>21</v>
      </c>
      <c r="I762" s="79" t="s">
        <v>5244</v>
      </c>
      <c r="J762" s="80" t="s">
        <v>45</v>
      </c>
      <c r="K762" s="79" t="s">
        <v>5256</v>
      </c>
      <c r="L762" s="92" t="s">
        <v>5257</v>
      </c>
      <c r="M762" s="83">
        <f t="shared" si="1"/>
        <v>364</v>
      </c>
      <c r="N762" s="84">
        <v>0.0</v>
      </c>
      <c r="O762" s="84">
        <v>364.0</v>
      </c>
      <c r="P762" s="84">
        <v>0.0</v>
      </c>
      <c r="Q762" s="94">
        <v>46426.0</v>
      </c>
      <c r="R762" s="94">
        <v>3619.0</v>
      </c>
      <c r="S762" s="95" t="s">
        <v>2792</v>
      </c>
      <c r="T762" s="94">
        <v>5.0</v>
      </c>
      <c r="U762" s="96">
        <v>37031.0</v>
      </c>
      <c r="V762" s="97" t="s">
        <v>5258</v>
      </c>
      <c r="W762" s="97" t="s">
        <v>5259</v>
      </c>
      <c r="X762" s="79" t="s">
        <v>5260</v>
      </c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  <c r="AK762" s="59"/>
      <c r="AL762" s="59"/>
      <c r="AM762" s="59"/>
      <c r="AN762" s="59"/>
      <c r="AO762" s="59"/>
      <c r="AP762" s="59"/>
      <c r="AQ762" s="59"/>
      <c r="AR762" s="59"/>
    </row>
    <row r="763" ht="19.5" customHeight="1">
      <c r="A763" s="79">
        <v>752.0</v>
      </c>
      <c r="B763" s="79" t="s">
        <v>38</v>
      </c>
      <c r="C763" s="79" t="s">
        <v>5241</v>
      </c>
      <c r="D763" s="79" t="s">
        <v>5261</v>
      </c>
      <c r="E763" s="93" t="s">
        <v>5262</v>
      </c>
      <c r="F763" s="79" t="s">
        <v>22</v>
      </c>
      <c r="G763" s="80" t="s">
        <v>46</v>
      </c>
      <c r="H763" s="80" t="s">
        <v>22</v>
      </c>
      <c r="I763" s="79" t="s">
        <v>22</v>
      </c>
      <c r="J763" s="80" t="s">
        <v>43</v>
      </c>
      <c r="K763" s="79"/>
      <c r="L763" s="92" t="s">
        <v>5263</v>
      </c>
      <c r="M763" s="83">
        <f t="shared" si="1"/>
        <v>400</v>
      </c>
      <c r="N763" s="84">
        <v>0.0</v>
      </c>
      <c r="O763" s="84">
        <v>400.0</v>
      </c>
      <c r="P763" s="84">
        <v>0.0</v>
      </c>
      <c r="Q763" s="94">
        <v>30123.0</v>
      </c>
      <c r="R763" s="94">
        <v>3575.0</v>
      </c>
      <c r="S763" s="95" t="s">
        <v>314</v>
      </c>
      <c r="T763" s="94">
        <v>20.0</v>
      </c>
      <c r="U763" s="96">
        <v>40004.0</v>
      </c>
      <c r="V763" s="97" t="s">
        <v>5264</v>
      </c>
      <c r="W763" s="97" t="s">
        <v>5265</v>
      </c>
      <c r="X763" s="79" t="s">
        <v>5266</v>
      </c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  <c r="AK763" s="59"/>
      <c r="AL763" s="59"/>
      <c r="AM763" s="59"/>
      <c r="AN763" s="59"/>
      <c r="AO763" s="59"/>
      <c r="AP763" s="59"/>
      <c r="AQ763" s="59"/>
      <c r="AR763" s="59"/>
    </row>
    <row r="764" ht="19.5" customHeight="1">
      <c r="A764" s="79">
        <v>753.0</v>
      </c>
      <c r="B764" s="80" t="s">
        <v>38</v>
      </c>
      <c r="C764" s="80" t="s">
        <v>2864</v>
      </c>
      <c r="D764" s="80" t="s">
        <v>5267</v>
      </c>
      <c r="E764" s="131" t="s">
        <v>5268</v>
      </c>
      <c r="F764" s="80" t="s">
        <v>22</v>
      </c>
      <c r="G764" s="80" t="s">
        <v>12</v>
      </c>
      <c r="H764" s="80" t="s">
        <v>22</v>
      </c>
      <c r="I764" s="80" t="s">
        <v>5269</v>
      </c>
      <c r="J764" s="80" t="s">
        <v>43</v>
      </c>
      <c r="K764" s="80" t="s">
        <v>5270</v>
      </c>
      <c r="L764" s="92" t="s">
        <v>5271</v>
      </c>
      <c r="M764" s="83">
        <f t="shared" si="1"/>
        <v>62</v>
      </c>
      <c r="N764" s="84">
        <v>0.0</v>
      </c>
      <c r="O764" s="84">
        <v>62.0</v>
      </c>
      <c r="P764" s="84">
        <v>0.0</v>
      </c>
      <c r="Q764" s="94">
        <v>1904.0</v>
      </c>
      <c r="R764" s="94">
        <v>817.0</v>
      </c>
      <c r="S764" s="95" t="s">
        <v>5272</v>
      </c>
      <c r="T764" s="94">
        <v>5.0</v>
      </c>
      <c r="U764" s="96">
        <v>43565.0</v>
      </c>
      <c r="V764" s="97"/>
      <c r="W764" s="97">
        <v>0.0</v>
      </c>
      <c r="X764" s="79" t="s">
        <v>5273</v>
      </c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  <c r="AK764" s="59"/>
      <c r="AL764" s="59"/>
      <c r="AM764" s="59"/>
      <c r="AN764" s="59"/>
      <c r="AO764" s="59"/>
      <c r="AP764" s="59"/>
      <c r="AQ764" s="59"/>
      <c r="AR764" s="59"/>
    </row>
    <row r="765" ht="19.5" customHeight="1">
      <c r="A765" s="79">
        <v>754.0</v>
      </c>
      <c r="B765" s="79" t="s">
        <v>38</v>
      </c>
      <c r="C765" s="79" t="s">
        <v>2864</v>
      </c>
      <c r="D765" s="79" t="s">
        <v>5274</v>
      </c>
      <c r="E765" s="93" t="s">
        <v>5275</v>
      </c>
      <c r="F765" s="79" t="s">
        <v>687</v>
      </c>
      <c r="G765" s="80" t="s">
        <v>44</v>
      </c>
      <c r="H765" s="80" t="s">
        <v>21</v>
      </c>
      <c r="I765" s="80" t="s">
        <v>2867</v>
      </c>
      <c r="J765" s="80" t="s">
        <v>43</v>
      </c>
      <c r="K765" s="80" t="s">
        <v>2864</v>
      </c>
      <c r="L765" s="92" t="s">
        <v>5276</v>
      </c>
      <c r="M765" s="83">
        <f t="shared" si="1"/>
        <v>99</v>
      </c>
      <c r="N765" s="84">
        <v>99.0</v>
      </c>
      <c r="O765" s="84">
        <v>0.0</v>
      </c>
      <c r="P765" s="84">
        <v>0.0</v>
      </c>
      <c r="Q765" s="94">
        <v>1119.0</v>
      </c>
      <c r="R765" s="94">
        <v>604.0</v>
      </c>
      <c r="S765" s="95" t="s">
        <v>3091</v>
      </c>
      <c r="T765" s="94">
        <v>1.0</v>
      </c>
      <c r="U765" s="96">
        <v>36549.0</v>
      </c>
      <c r="V765" s="97" t="s">
        <v>5277</v>
      </c>
      <c r="W765" s="97">
        <v>0.0</v>
      </c>
      <c r="X765" s="79" t="s">
        <v>5278</v>
      </c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  <c r="AK765" s="59"/>
      <c r="AL765" s="59"/>
      <c r="AM765" s="59"/>
      <c r="AN765" s="59"/>
      <c r="AO765" s="59"/>
      <c r="AP765" s="59"/>
      <c r="AQ765" s="59"/>
      <c r="AR765" s="59"/>
    </row>
    <row r="766" ht="19.5" customHeight="1">
      <c r="A766" s="79">
        <v>755.0</v>
      </c>
      <c r="B766" s="85" t="s">
        <v>38</v>
      </c>
      <c r="C766" s="85" t="s">
        <v>2864</v>
      </c>
      <c r="D766" s="85" t="s">
        <v>5279</v>
      </c>
      <c r="E766" s="134" t="s">
        <v>5280</v>
      </c>
      <c r="F766" s="85" t="s">
        <v>1807</v>
      </c>
      <c r="G766" s="80" t="s">
        <v>46</v>
      </c>
      <c r="H766" s="80" t="s">
        <v>21</v>
      </c>
      <c r="I766" s="85" t="s">
        <v>5281</v>
      </c>
      <c r="J766" s="80" t="s">
        <v>43</v>
      </c>
      <c r="K766" s="89" t="s">
        <v>5281</v>
      </c>
      <c r="L766" s="135" t="s">
        <v>5282</v>
      </c>
      <c r="M766" s="83">
        <f t="shared" si="1"/>
        <v>368</v>
      </c>
      <c r="N766" s="84">
        <v>0.0</v>
      </c>
      <c r="O766" s="84">
        <v>368.0</v>
      </c>
      <c r="P766" s="84">
        <v>0.0</v>
      </c>
      <c r="Q766" s="94">
        <v>43917.0</v>
      </c>
      <c r="R766" s="94">
        <v>7042.0</v>
      </c>
      <c r="S766" s="95" t="s">
        <v>786</v>
      </c>
      <c r="T766" s="94">
        <v>1.0</v>
      </c>
      <c r="U766" s="96">
        <v>35245.0</v>
      </c>
      <c r="V766" s="97" t="s">
        <v>5283</v>
      </c>
      <c r="W766" s="97" t="s">
        <v>5284</v>
      </c>
      <c r="X766" s="7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  <c r="AK766" s="59"/>
      <c r="AL766" s="59"/>
      <c r="AM766" s="59"/>
      <c r="AN766" s="59"/>
      <c r="AO766" s="59"/>
      <c r="AP766" s="59"/>
      <c r="AQ766" s="59"/>
      <c r="AR766" s="59"/>
    </row>
    <row r="767" ht="19.5" customHeight="1">
      <c r="A767" s="79">
        <v>756.0</v>
      </c>
      <c r="B767" s="79" t="s">
        <v>38</v>
      </c>
      <c r="C767" s="79" t="s">
        <v>2864</v>
      </c>
      <c r="D767" s="91" t="s">
        <v>5267</v>
      </c>
      <c r="E767" s="93" t="s">
        <v>5285</v>
      </c>
      <c r="F767" s="79" t="s">
        <v>687</v>
      </c>
      <c r="G767" s="80" t="s">
        <v>42</v>
      </c>
      <c r="H767" s="80" t="s">
        <v>21</v>
      </c>
      <c r="I767" s="80" t="s">
        <v>2867</v>
      </c>
      <c r="J767" s="80" t="s">
        <v>43</v>
      </c>
      <c r="K767" s="80" t="s">
        <v>2864</v>
      </c>
      <c r="L767" s="92" t="s">
        <v>5286</v>
      </c>
      <c r="M767" s="83">
        <f t="shared" si="1"/>
        <v>400</v>
      </c>
      <c r="N767" s="84">
        <v>400.0</v>
      </c>
      <c r="O767" s="84">
        <v>0.0</v>
      </c>
      <c r="P767" s="84">
        <v>0.0</v>
      </c>
      <c r="Q767" s="94">
        <v>4415.0</v>
      </c>
      <c r="R767" s="94">
        <v>3371.0</v>
      </c>
      <c r="S767" s="95" t="s">
        <v>380</v>
      </c>
      <c r="T767" s="94">
        <v>1.0</v>
      </c>
      <c r="U767" s="96">
        <v>44078.0</v>
      </c>
      <c r="V767" s="97" t="s">
        <v>5287</v>
      </c>
      <c r="W767" s="97" t="s">
        <v>5288</v>
      </c>
      <c r="X767" s="79" t="s">
        <v>5278</v>
      </c>
      <c r="Y767" s="98"/>
      <c r="Z767" s="98"/>
      <c r="AA767" s="98"/>
      <c r="AB767" s="98"/>
      <c r="AC767" s="98"/>
      <c r="AD767" s="98"/>
      <c r="AE767" s="98"/>
      <c r="AF767" s="98"/>
      <c r="AG767" s="98"/>
      <c r="AH767" s="98"/>
      <c r="AI767" s="98"/>
      <c r="AJ767" s="98"/>
      <c r="AK767" s="98"/>
      <c r="AL767" s="98"/>
      <c r="AM767" s="98"/>
      <c r="AN767" s="98"/>
      <c r="AO767" s="98"/>
      <c r="AP767" s="98"/>
      <c r="AQ767" s="98"/>
      <c r="AR767" s="98"/>
    </row>
    <row r="768" ht="19.5" customHeight="1">
      <c r="A768" s="79">
        <v>757.0</v>
      </c>
      <c r="B768" s="79" t="s">
        <v>38</v>
      </c>
      <c r="C768" s="79" t="s">
        <v>2864</v>
      </c>
      <c r="D768" s="79" t="s">
        <v>5274</v>
      </c>
      <c r="E768" s="131" t="s">
        <v>5289</v>
      </c>
      <c r="F768" s="80" t="s">
        <v>22</v>
      </c>
      <c r="G768" s="80" t="s">
        <v>12</v>
      </c>
      <c r="H768" s="80" t="s">
        <v>22</v>
      </c>
      <c r="I768" s="80" t="s">
        <v>5290</v>
      </c>
      <c r="J768" s="80" t="s">
        <v>43</v>
      </c>
      <c r="K768" s="80" t="s">
        <v>5291</v>
      </c>
      <c r="L768" s="92" t="s">
        <v>5292</v>
      </c>
      <c r="M768" s="83">
        <f t="shared" si="1"/>
        <v>24</v>
      </c>
      <c r="N768" s="84">
        <v>24.0</v>
      </c>
      <c r="O768" s="84">
        <v>0.0</v>
      </c>
      <c r="P768" s="84">
        <v>0.0</v>
      </c>
      <c r="Q768" s="94">
        <v>4803.0</v>
      </c>
      <c r="R768" s="94">
        <v>1419.0</v>
      </c>
      <c r="S768" s="95" t="s">
        <v>5293</v>
      </c>
      <c r="T768" s="94">
        <v>7.0</v>
      </c>
      <c r="U768" s="96">
        <v>44719.0</v>
      </c>
      <c r="V768" s="97" t="s">
        <v>5294</v>
      </c>
      <c r="W768" s="97">
        <v>0.0</v>
      </c>
      <c r="X768" s="79" t="s">
        <v>5295</v>
      </c>
      <c r="Y768" s="98"/>
      <c r="Z768" s="98"/>
      <c r="AA768" s="98"/>
      <c r="AB768" s="98"/>
      <c r="AC768" s="98"/>
      <c r="AD768" s="98"/>
      <c r="AE768" s="98"/>
      <c r="AF768" s="98"/>
      <c r="AG768" s="98"/>
      <c r="AH768" s="98"/>
      <c r="AI768" s="98"/>
      <c r="AJ768" s="98"/>
      <c r="AK768" s="98"/>
      <c r="AL768" s="98"/>
      <c r="AM768" s="98"/>
      <c r="AN768" s="98"/>
      <c r="AO768" s="98"/>
      <c r="AP768" s="98"/>
      <c r="AQ768" s="98"/>
      <c r="AR768" s="98"/>
    </row>
    <row r="769" ht="19.5" customHeight="1">
      <c r="A769" s="79">
        <v>758.0</v>
      </c>
      <c r="B769" s="79" t="s">
        <v>38</v>
      </c>
      <c r="C769" s="79" t="s">
        <v>5296</v>
      </c>
      <c r="D769" s="79" t="s">
        <v>5297</v>
      </c>
      <c r="E769" s="93" t="s">
        <v>5298</v>
      </c>
      <c r="F769" s="79" t="s">
        <v>81</v>
      </c>
      <c r="G769" s="80" t="s">
        <v>44</v>
      </c>
      <c r="H769" s="80" t="s">
        <v>21</v>
      </c>
      <c r="I769" s="79" t="s">
        <v>5299</v>
      </c>
      <c r="J769" s="80" t="s">
        <v>43</v>
      </c>
      <c r="K769" s="79" t="s">
        <v>5296</v>
      </c>
      <c r="L769" s="92" t="s">
        <v>5300</v>
      </c>
      <c r="M769" s="83">
        <f t="shared" si="1"/>
        <v>64</v>
      </c>
      <c r="N769" s="84">
        <v>64.0</v>
      </c>
      <c r="O769" s="84"/>
      <c r="P769" s="84"/>
      <c r="Q769" s="94">
        <v>525.0</v>
      </c>
      <c r="R769" s="94">
        <v>533.0</v>
      </c>
      <c r="S769" s="95" t="s">
        <v>3091</v>
      </c>
      <c r="T769" s="94">
        <v>1.0</v>
      </c>
      <c r="U769" s="96">
        <v>38042.0</v>
      </c>
      <c r="V769" s="97" t="s">
        <v>5301</v>
      </c>
      <c r="W769" s="97" t="s">
        <v>5302</v>
      </c>
      <c r="X769" s="79" t="s">
        <v>5303</v>
      </c>
      <c r="Y769" s="98"/>
      <c r="Z769" s="98"/>
      <c r="AA769" s="98"/>
      <c r="AB769" s="98"/>
      <c r="AC769" s="98"/>
      <c r="AD769" s="98"/>
      <c r="AE769" s="98"/>
      <c r="AF769" s="98"/>
      <c r="AG769" s="98"/>
      <c r="AH769" s="98"/>
      <c r="AI769" s="98"/>
      <c r="AJ769" s="98"/>
      <c r="AK769" s="98"/>
      <c r="AL769" s="98"/>
      <c r="AM769" s="98"/>
      <c r="AN769" s="98"/>
      <c r="AO769" s="98"/>
      <c r="AP769" s="98"/>
      <c r="AQ769" s="98"/>
      <c r="AR769" s="98"/>
    </row>
    <row r="770" ht="19.5" customHeight="1">
      <c r="A770" s="79">
        <v>759.0</v>
      </c>
      <c r="B770" s="79" t="s">
        <v>38</v>
      </c>
      <c r="C770" s="79" t="s">
        <v>5296</v>
      </c>
      <c r="D770" s="79" t="s">
        <v>5304</v>
      </c>
      <c r="E770" s="93" t="s">
        <v>5305</v>
      </c>
      <c r="F770" s="79" t="s">
        <v>81</v>
      </c>
      <c r="G770" s="80" t="s">
        <v>42</v>
      </c>
      <c r="H770" s="80" t="s">
        <v>21</v>
      </c>
      <c r="I770" s="79" t="s">
        <v>5299</v>
      </c>
      <c r="J770" s="80" t="s">
        <v>45</v>
      </c>
      <c r="K770" s="79" t="s">
        <v>5306</v>
      </c>
      <c r="L770" s="92" t="s">
        <v>5307</v>
      </c>
      <c r="M770" s="83">
        <f t="shared" si="1"/>
        <v>1141</v>
      </c>
      <c r="N770" s="84">
        <v>1041.0</v>
      </c>
      <c r="O770" s="84">
        <v>100.0</v>
      </c>
      <c r="P770" s="84">
        <v>0.0</v>
      </c>
      <c r="Q770" s="94">
        <v>6042.0</v>
      </c>
      <c r="R770" s="94">
        <v>5070.0</v>
      </c>
      <c r="S770" s="95" t="s">
        <v>5308</v>
      </c>
      <c r="T770" s="94">
        <v>1.0</v>
      </c>
      <c r="U770" s="96">
        <v>35853.0</v>
      </c>
      <c r="V770" s="97" t="s">
        <v>5309</v>
      </c>
      <c r="W770" s="97" t="s">
        <v>5310</v>
      </c>
      <c r="X770" s="79" t="s">
        <v>5311</v>
      </c>
      <c r="Y770" s="98"/>
      <c r="Z770" s="98"/>
      <c r="AA770" s="98"/>
      <c r="AB770" s="98"/>
      <c r="AC770" s="98"/>
      <c r="AD770" s="98"/>
      <c r="AE770" s="98"/>
      <c r="AF770" s="98"/>
      <c r="AG770" s="98"/>
      <c r="AH770" s="98"/>
      <c r="AI770" s="98"/>
      <c r="AJ770" s="98"/>
      <c r="AK770" s="98"/>
      <c r="AL770" s="98"/>
      <c r="AM770" s="98"/>
      <c r="AN770" s="98"/>
      <c r="AO770" s="98"/>
      <c r="AP770" s="98"/>
      <c r="AQ770" s="98"/>
      <c r="AR770" s="98"/>
    </row>
    <row r="771" ht="19.5" customHeight="1">
      <c r="A771" s="79">
        <v>760.0</v>
      </c>
      <c r="B771" s="79" t="s">
        <v>38</v>
      </c>
      <c r="C771" s="79" t="s">
        <v>5296</v>
      </c>
      <c r="D771" s="79" t="s">
        <v>5312</v>
      </c>
      <c r="E771" s="93" t="s">
        <v>5313</v>
      </c>
      <c r="F771" s="79" t="s">
        <v>81</v>
      </c>
      <c r="G771" s="80" t="s">
        <v>44</v>
      </c>
      <c r="H771" s="80" t="s">
        <v>21</v>
      </c>
      <c r="I771" s="79" t="s">
        <v>5299</v>
      </c>
      <c r="J771" s="80" t="s">
        <v>45</v>
      </c>
      <c r="K771" s="79" t="s">
        <v>5314</v>
      </c>
      <c r="L771" s="92" t="s">
        <v>5315</v>
      </c>
      <c r="M771" s="83">
        <f t="shared" si="1"/>
        <v>250</v>
      </c>
      <c r="N771" s="84">
        <v>250.0</v>
      </c>
      <c r="O771" s="84">
        <v>0.0</v>
      </c>
      <c r="P771" s="84">
        <v>0.0</v>
      </c>
      <c r="Q771" s="94">
        <v>1905.0</v>
      </c>
      <c r="R771" s="94">
        <v>2498.0</v>
      </c>
      <c r="S771" s="95" t="s">
        <v>786</v>
      </c>
      <c r="T771" s="94">
        <v>1.0</v>
      </c>
      <c r="U771" s="96">
        <v>45539.0</v>
      </c>
      <c r="V771" s="97" t="s">
        <v>5316</v>
      </c>
      <c r="W771" s="97" t="s">
        <v>5317</v>
      </c>
      <c r="X771" s="79" t="s">
        <v>5318</v>
      </c>
      <c r="Y771" s="98"/>
      <c r="Z771" s="98"/>
      <c r="AA771" s="98"/>
      <c r="AB771" s="98"/>
      <c r="AC771" s="98"/>
      <c r="AD771" s="98"/>
      <c r="AE771" s="98"/>
      <c r="AF771" s="98"/>
      <c r="AG771" s="98"/>
      <c r="AH771" s="98"/>
      <c r="AI771" s="98"/>
      <c r="AJ771" s="98"/>
      <c r="AK771" s="98"/>
      <c r="AL771" s="98"/>
      <c r="AM771" s="98"/>
      <c r="AN771" s="98"/>
      <c r="AO771" s="98"/>
      <c r="AP771" s="98"/>
      <c r="AQ771" s="98"/>
      <c r="AR771" s="98"/>
    </row>
    <row r="772" ht="19.5" customHeight="1">
      <c r="A772" s="79">
        <v>761.0</v>
      </c>
      <c r="B772" s="79" t="s">
        <v>38</v>
      </c>
      <c r="C772" s="79" t="s">
        <v>5319</v>
      </c>
      <c r="D772" s="79" t="s">
        <v>5320</v>
      </c>
      <c r="E772" s="93" t="s">
        <v>5321</v>
      </c>
      <c r="F772" s="79" t="s">
        <v>22</v>
      </c>
      <c r="G772" s="80" t="s">
        <v>46</v>
      </c>
      <c r="H772" s="80" t="s">
        <v>22</v>
      </c>
      <c r="I772" s="79" t="s">
        <v>5322</v>
      </c>
      <c r="J772" s="80" t="s">
        <v>43</v>
      </c>
      <c r="K772" s="79" t="s">
        <v>5323</v>
      </c>
      <c r="L772" s="92" t="s">
        <v>5324</v>
      </c>
      <c r="M772" s="83">
        <f t="shared" si="1"/>
        <v>710</v>
      </c>
      <c r="N772" s="84">
        <v>0.0</v>
      </c>
      <c r="O772" s="84">
        <v>710.0</v>
      </c>
      <c r="P772" s="84">
        <v>0.0</v>
      </c>
      <c r="Q772" s="94">
        <v>2787.0</v>
      </c>
      <c r="R772" s="94">
        <v>3396.0</v>
      </c>
      <c r="S772" s="95" t="s">
        <v>5325</v>
      </c>
      <c r="T772" s="94">
        <v>3.0</v>
      </c>
      <c r="U772" s="96">
        <v>34573.0</v>
      </c>
      <c r="V772" s="97" t="s">
        <v>5326</v>
      </c>
      <c r="W772" s="97" t="s">
        <v>5327</v>
      </c>
      <c r="X772" s="79" t="s">
        <v>5328</v>
      </c>
      <c r="Y772" s="98"/>
      <c r="Z772" s="98"/>
      <c r="AA772" s="98"/>
      <c r="AB772" s="98"/>
      <c r="AC772" s="98"/>
      <c r="AD772" s="98"/>
      <c r="AE772" s="98"/>
      <c r="AF772" s="98"/>
      <c r="AG772" s="98"/>
      <c r="AH772" s="98"/>
      <c r="AI772" s="98"/>
      <c r="AJ772" s="98"/>
      <c r="AK772" s="98"/>
      <c r="AL772" s="98"/>
      <c r="AM772" s="98"/>
      <c r="AN772" s="98"/>
      <c r="AO772" s="98"/>
      <c r="AP772" s="98"/>
      <c r="AQ772" s="98"/>
      <c r="AR772" s="98"/>
    </row>
    <row r="773" ht="19.5" customHeight="1">
      <c r="A773" s="79">
        <v>762.0</v>
      </c>
      <c r="B773" s="79" t="s">
        <v>38</v>
      </c>
      <c r="C773" s="79" t="s">
        <v>5319</v>
      </c>
      <c r="D773" s="79" t="s">
        <v>5320</v>
      </c>
      <c r="E773" s="93" t="s">
        <v>5329</v>
      </c>
      <c r="F773" s="79" t="s">
        <v>22</v>
      </c>
      <c r="G773" s="80" t="s">
        <v>46</v>
      </c>
      <c r="H773" s="80" t="s">
        <v>22</v>
      </c>
      <c r="I773" s="79" t="s">
        <v>5330</v>
      </c>
      <c r="J773" s="80" t="s">
        <v>43</v>
      </c>
      <c r="K773" s="79" t="s">
        <v>5331</v>
      </c>
      <c r="L773" s="92" t="s">
        <v>5332</v>
      </c>
      <c r="M773" s="83">
        <f t="shared" si="1"/>
        <v>864</v>
      </c>
      <c r="N773" s="84">
        <v>0.0</v>
      </c>
      <c r="O773" s="84">
        <v>864.0</v>
      </c>
      <c r="P773" s="84">
        <v>0.0</v>
      </c>
      <c r="Q773" s="94">
        <v>9741.0</v>
      </c>
      <c r="R773" s="94">
        <v>9030.0</v>
      </c>
      <c r="S773" s="95" t="s">
        <v>538</v>
      </c>
      <c r="T773" s="94">
        <v>2.0</v>
      </c>
      <c r="U773" s="96">
        <v>38037.0</v>
      </c>
      <c r="V773" s="97" t="s">
        <v>5333</v>
      </c>
      <c r="W773" s="97" t="s">
        <v>5334</v>
      </c>
      <c r="X773" s="79" t="s">
        <v>5335</v>
      </c>
      <c r="Y773" s="98"/>
      <c r="Z773" s="98"/>
      <c r="AA773" s="98"/>
      <c r="AB773" s="98"/>
      <c r="AC773" s="98"/>
      <c r="AD773" s="98"/>
      <c r="AE773" s="98"/>
      <c r="AF773" s="98"/>
      <c r="AG773" s="98"/>
      <c r="AH773" s="98"/>
      <c r="AI773" s="98"/>
      <c r="AJ773" s="98"/>
      <c r="AK773" s="98"/>
      <c r="AL773" s="98"/>
      <c r="AM773" s="98"/>
      <c r="AN773" s="98"/>
      <c r="AO773" s="98"/>
      <c r="AP773" s="98"/>
      <c r="AQ773" s="98"/>
      <c r="AR773" s="98"/>
    </row>
    <row r="774" ht="19.5" customHeight="1">
      <c r="A774" s="79">
        <v>763.0</v>
      </c>
      <c r="B774" s="79" t="s">
        <v>38</v>
      </c>
      <c r="C774" s="79" t="s">
        <v>5319</v>
      </c>
      <c r="D774" s="79" t="s">
        <v>5336</v>
      </c>
      <c r="E774" s="93" t="s">
        <v>5337</v>
      </c>
      <c r="F774" s="79" t="s">
        <v>22</v>
      </c>
      <c r="G774" s="80" t="s">
        <v>12</v>
      </c>
      <c r="H774" s="80" t="s">
        <v>22</v>
      </c>
      <c r="I774" s="79" t="s">
        <v>5338</v>
      </c>
      <c r="J774" s="80" t="s">
        <v>43</v>
      </c>
      <c r="K774" s="79"/>
      <c r="L774" s="92" t="s">
        <v>5339</v>
      </c>
      <c r="M774" s="83">
        <f t="shared" si="1"/>
        <v>150</v>
      </c>
      <c r="N774" s="84">
        <v>0.0</v>
      </c>
      <c r="O774" s="84">
        <v>150.0</v>
      </c>
      <c r="P774" s="84">
        <v>0.0</v>
      </c>
      <c r="Q774" s="94">
        <v>1312.0</v>
      </c>
      <c r="R774" s="94">
        <v>1663.0</v>
      </c>
      <c r="S774" s="95" t="s">
        <v>217</v>
      </c>
      <c r="T774" s="94">
        <v>2.0</v>
      </c>
      <c r="U774" s="96">
        <v>40613.0</v>
      </c>
      <c r="V774" s="97" t="s">
        <v>5340</v>
      </c>
      <c r="W774" s="97" t="s">
        <v>5340</v>
      </c>
      <c r="X774" s="79" t="s">
        <v>5341</v>
      </c>
      <c r="Y774" s="98"/>
      <c r="Z774" s="98"/>
      <c r="AA774" s="98"/>
      <c r="AB774" s="98"/>
      <c r="AC774" s="98"/>
      <c r="AD774" s="98"/>
      <c r="AE774" s="98"/>
      <c r="AF774" s="98"/>
      <c r="AG774" s="98"/>
      <c r="AH774" s="98"/>
      <c r="AI774" s="98"/>
      <c r="AJ774" s="98"/>
      <c r="AK774" s="98"/>
      <c r="AL774" s="98"/>
      <c r="AM774" s="98"/>
      <c r="AN774" s="98"/>
      <c r="AO774" s="98"/>
      <c r="AP774" s="98"/>
      <c r="AQ774" s="98"/>
      <c r="AR774" s="98"/>
    </row>
    <row r="775" ht="19.5" customHeight="1">
      <c r="A775" s="79">
        <v>764.0</v>
      </c>
      <c r="B775" s="79" t="s">
        <v>38</v>
      </c>
      <c r="C775" s="79" t="s">
        <v>5319</v>
      </c>
      <c r="D775" s="79" t="s">
        <v>5336</v>
      </c>
      <c r="E775" s="93" t="s">
        <v>5342</v>
      </c>
      <c r="F775" s="79" t="s">
        <v>22</v>
      </c>
      <c r="G775" s="80" t="s">
        <v>12</v>
      </c>
      <c r="H775" s="80" t="s">
        <v>22</v>
      </c>
      <c r="I775" s="79" t="s">
        <v>5343</v>
      </c>
      <c r="J775" s="80" t="s">
        <v>43</v>
      </c>
      <c r="K775" s="79"/>
      <c r="L775" s="92" t="s">
        <v>5344</v>
      </c>
      <c r="M775" s="83">
        <f t="shared" si="1"/>
        <v>40</v>
      </c>
      <c r="N775" s="84">
        <v>0.0</v>
      </c>
      <c r="O775" s="84">
        <v>40.0</v>
      </c>
      <c r="P775" s="84">
        <v>0.0</v>
      </c>
      <c r="Q775" s="94">
        <v>275.0</v>
      </c>
      <c r="R775" s="94">
        <v>397.0</v>
      </c>
      <c r="S775" s="95" t="s">
        <v>314</v>
      </c>
      <c r="T775" s="94">
        <v>1.0</v>
      </c>
      <c r="U775" s="96">
        <v>40753.0</v>
      </c>
      <c r="V775" s="97"/>
      <c r="W775" s="97" t="s">
        <v>5345</v>
      </c>
      <c r="X775" s="79" t="s">
        <v>5346</v>
      </c>
      <c r="Y775" s="98"/>
      <c r="Z775" s="98"/>
      <c r="AA775" s="98"/>
      <c r="AB775" s="98"/>
      <c r="AC775" s="98"/>
      <c r="AD775" s="98"/>
      <c r="AE775" s="98"/>
      <c r="AF775" s="98"/>
      <c r="AG775" s="98"/>
      <c r="AH775" s="98"/>
      <c r="AI775" s="98"/>
      <c r="AJ775" s="98"/>
      <c r="AK775" s="98"/>
      <c r="AL775" s="98"/>
      <c r="AM775" s="98"/>
      <c r="AN775" s="98"/>
      <c r="AO775" s="98"/>
      <c r="AP775" s="98"/>
      <c r="AQ775" s="98"/>
      <c r="AR775" s="98"/>
    </row>
    <row r="776" ht="19.5" customHeight="1">
      <c r="A776" s="79">
        <v>765.0</v>
      </c>
      <c r="B776" s="79" t="s">
        <v>38</v>
      </c>
      <c r="C776" s="79" t="s">
        <v>5347</v>
      </c>
      <c r="D776" s="79" t="s">
        <v>5348</v>
      </c>
      <c r="E776" s="93" t="s">
        <v>5349</v>
      </c>
      <c r="F776" s="79" t="s">
        <v>81</v>
      </c>
      <c r="G776" s="80" t="s">
        <v>44</v>
      </c>
      <c r="H776" s="80" t="s">
        <v>21</v>
      </c>
      <c r="I776" s="79" t="s">
        <v>5350</v>
      </c>
      <c r="J776" s="80" t="s">
        <v>45</v>
      </c>
      <c r="K776" s="136" t="s">
        <v>5351</v>
      </c>
      <c r="L776" s="137" t="s">
        <v>5352</v>
      </c>
      <c r="M776" s="83">
        <f t="shared" si="1"/>
        <v>100</v>
      </c>
      <c r="N776" s="84">
        <v>100.0</v>
      </c>
      <c r="O776" s="84"/>
      <c r="P776" s="84"/>
      <c r="Q776" s="94">
        <v>412.0</v>
      </c>
      <c r="R776" s="94">
        <v>952.0</v>
      </c>
      <c r="S776" s="95" t="s">
        <v>103</v>
      </c>
      <c r="T776" s="94">
        <v>1.0</v>
      </c>
      <c r="U776" s="96">
        <v>36948.0</v>
      </c>
      <c r="V776" s="97" t="s">
        <v>5353</v>
      </c>
      <c r="W776" s="97" t="s">
        <v>5354</v>
      </c>
      <c r="X776" s="79" t="s">
        <v>5355</v>
      </c>
      <c r="Y776" s="98"/>
      <c r="Z776" s="98"/>
      <c r="AA776" s="98"/>
      <c r="AB776" s="98"/>
      <c r="AC776" s="98"/>
      <c r="AD776" s="98"/>
      <c r="AE776" s="98"/>
      <c r="AF776" s="98"/>
      <c r="AG776" s="98"/>
      <c r="AH776" s="98"/>
      <c r="AI776" s="98"/>
      <c r="AJ776" s="98"/>
      <c r="AK776" s="98"/>
      <c r="AL776" s="98"/>
      <c r="AM776" s="98"/>
      <c r="AN776" s="98"/>
      <c r="AO776" s="98"/>
      <c r="AP776" s="98"/>
      <c r="AQ776" s="98"/>
      <c r="AR776" s="98"/>
    </row>
    <row r="777" ht="19.5" customHeight="1">
      <c r="A777" s="79">
        <v>766.0</v>
      </c>
      <c r="B777" s="79" t="s">
        <v>38</v>
      </c>
      <c r="C777" s="79" t="s">
        <v>5347</v>
      </c>
      <c r="D777" s="79" t="s">
        <v>5356</v>
      </c>
      <c r="E777" s="93" t="s">
        <v>5357</v>
      </c>
      <c r="F777" s="79" t="s">
        <v>22</v>
      </c>
      <c r="G777" s="80" t="s">
        <v>46</v>
      </c>
      <c r="H777" s="80" t="s">
        <v>22</v>
      </c>
      <c r="I777" s="79" t="s">
        <v>5358</v>
      </c>
      <c r="J777" s="80" t="s">
        <v>43</v>
      </c>
      <c r="K777" s="136" t="s">
        <v>5359</v>
      </c>
      <c r="L777" s="137" t="s">
        <v>5360</v>
      </c>
      <c r="M777" s="83">
        <f t="shared" si="1"/>
        <v>500</v>
      </c>
      <c r="N777" s="84"/>
      <c r="O777" s="84">
        <v>460.0</v>
      </c>
      <c r="P777" s="84">
        <v>40.0</v>
      </c>
      <c r="Q777" s="94">
        <v>6627.0</v>
      </c>
      <c r="R777" s="94">
        <v>1518.0</v>
      </c>
      <c r="S777" s="95" t="s">
        <v>350</v>
      </c>
      <c r="T777" s="94">
        <v>7.0</v>
      </c>
      <c r="U777" s="96">
        <v>38013.0</v>
      </c>
      <c r="V777" s="97" t="s">
        <v>5361</v>
      </c>
      <c r="W777" s="97"/>
      <c r="X777" s="79"/>
      <c r="Y777" s="98"/>
      <c r="Z777" s="98"/>
      <c r="AA777" s="98"/>
      <c r="AB777" s="98"/>
      <c r="AC777" s="98"/>
      <c r="AD777" s="98"/>
      <c r="AE777" s="98"/>
      <c r="AF777" s="98"/>
      <c r="AG777" s="98"/>
      <c r="AH777" s="98"/>
      <c r="AI777" s="98"/>
      <c r="AJ777" s="98"/>
      <c r="AK777" s="98"/>
      <c r="AL777" s="98"/>
      <c r="AM777" s="98"/>
      <c r="AN777" s="98"/>
      <c r="AO777" s="98"/>
      <c r="AP777" s="98"/>
      <c r="AQ777" s="98"/>
      <c r="AR777" s="98"/>
    </row>
    <row r="778" ht="19.5" customHeight="1">
      <c r="A778" s="79">
        <v>767.0</v>
      </c>
      <c r="B778" s="79" t="s">
        <v>38</v>
      </c>
      <c r="C778" s="79" t="s">
        <v>5347</v>
      </c>
      <c r="D778" s="79" t="s">
        <v>5362</v>
      </c>
      <c r="E778" s="93" t="s">
        <v>5363</v>
      </c>
      <c r="F778" s="79" t="s">
        <v>81</v>
      </c>
      <c r="G778" s="80" t="s">
        <v>42</v>
      </c>
      <c r="H778" s="80" t="s">
        <v>21</v>
      </c>
      <c r="I778" s="79" t="s">
        <v>5350</v>
      </c>
      <c r="J778" s="80" t="s">
        <v>45</v>
      </c>
      <c r="K778" s="136" t="s">
        <v>5364</v>
      </c>
      <c r="L778" s="137" t="s">
        <v>5365</v>
      </c>
      <c r="M778" s="83">
        <f t="shared" si="1"/>
        <v>500</v>
      </c>
      <c r="N778" s="84">
        <v>500.0</v>
      </c>
      <c r="O778" s="84"/>
      <c r="P778" s="84"/>
      <c r="Q778" s="94">
        <v>8784.0</v>
      </c>
      <c r="R778" s="94">
        <v>3753.0</v>
      </c>
      <c r="S778" s="95" t="s">
        <v>217</v>
      </c>
      <c r="T778" s="94">
        <v>1.0</v>
      </c>
      <c r="U778" s="96">
        <v>39661.0</v>
      </c>
      <c r="V778" s="97" t="s">
        <v>5366</v>
      </c>
      <c r="W778" s="97" t="s">
        <v>5367</v>
      </c>
      <c r="X778" s="79" t="s">
        <v>5368</v>
      </c>
      <c r="Y778" s="98"/>
      <c r="Z778" s="98"/>
      <c r="AA778" s="98"/>
      <c r="AB778" s="98"/>
      <c r="AC778" s="98"/>
      <c r="AD778" s="98"/>
      <c r="AE778" s="98"/>
      <c r="AF778" s="98"/>
      <c r="AG778" s="98"/>
      <c r="AH778" s="98"/>
      <c r="AI778" s="98"/>
      <c r="AJ778" s="98"/>
      <c r="AK778" s="98"/>
      <c r="AL778" s="98"/>
      <c r="AM778" s="98"/>
      <c r="AN778" s="98"/>
      <c r="AO778" s="98"/>
      <c r="AP778" s="98"/>
      <c r="AQ778" s="98"/>
      <c r="AR778" s="98"/>
    </row>
    <row r="779" ht="19.5" customHeight="1">
      <c r="A779" s="79">
        <v>768.0</v>
      </c>
      <c r="B779" s="79" t="s">
        <v>38</v>
      </c>
      <c r="C779" s="79" t="s">
        <v>5369</v>
      </c>
      <c r="D779" s="79" t="s">
        <v>5370</v>
      </c>
      <c r="E779" s="93" t="s">
        <v>5371</v>
      </c>
      <c r="F779" s="79" t="s">
        <v>81</v>
      </c>
      <c r="G779" s="80" t="s">
        <v>44</v>
      </c>
      <c r="H779" s="80" t="s">
        <v>21</v>
      </c>
      <c r="I779" s="79" t="s">
        <v>5372</v>
      </c>
      <c r="J779" s="80" t="s">
        <v>45</v>
      </c>
      <c r="K779" s="79" t="s">
        <v>5373</v>
      </c>
      <c r="L779" s="92" t="s">
        <v>5374</v>
      </c>
      <c r="M779" s="83">
        <f t="shared" si="1"/>
        <v>150</v>
      </c>
      <c r="N779" s="84">
        <v>150.0</v>
      </c>
      <c r="O779" s="84"/>
      <c r="P779" s="84"/>
      <c r="Q779" s="94">
        <v>1513.0</v>
      </c>
      <c r="R779" s="94">
        <v>868.0</v>
      </c>
      <c r="S779" s="95" t="s">
        <v>314</v>
      </c>
      <c r="T779" s="94">
        <v>1.0</v>
      </c>
      <c r="U779" s="96">
        <v>39414.0</v>
      </c>
      <c r="V779" s="97" t="s">
        <v>5375</v>
      </c>
      <c r="W779" s="97" t="s">
        <v>5376</v>
      </c>
      <c r="X779" s="79" t="s">
        <v>5377</v>
      </c>
      <c r="Y779" s="98"/>
      <c r="Z779" s="98"/>
      <c r="AA779" s="98"/>
      <c r="AB779" s="98"/>
      <c r="AC779" s="98"/>
      <c r="AD779" s="98"/>
      <c r="AE779" s="98"/>
      <c r="AF779" s="98"/>
      <c r="AG779" s="98"/>
      <c r="AH779" s="98"/>
      <c r="AI779" s="98"/>
      <c r="AJ779" s="98"/>
      <c r="AK779" s="98"/>
      <c r="AL779" s="98"/>
      <c r="AM779" s="98"/>
      <c r="AN779" s="98"/>
      <c r="AO779" s="98"/>
      <c r="AP779" s="98"/>
      <c r="AQ779" s="98"/>
      <c r="AR779" s="98"/>
    </row>
    <row r="780" ht="19.5" customHeight="1">
      <c r="A780" s="79">
        <v>769.0</v>
      </c>
      <c r="B780" s="79" t="s">
        <v>38</v>
      </c>
      <c r="C780" s="79" t="s">
        <v>5369</v>
      </c>
      <c r="D780" s="79" t="s">
        <v>5378</v>
      </c>
      <c r="E780" s="93" t="s">
        <v>5379</v>
      </c>
      <c r="F780" s="79" t="s">
        <v>81</v>
      </c>
      <c r="G780" s="80" t="s">
        <v>42</v>
      </c>
      <c r="H780" s="80" t="s">
        <v>21</v>
      </c>
      <c r="I780" s="79" t="s">
        <v>5372</v>
      </c>
      <c r="J780" s="80" t="s">
        <v>45</v>
      </c>
      <c r="K780" s="79" t="s">
        <v>5373</v>
      </c>
      <c r="L780" s="92" t="s">
        <v>5380</v>
      </c>
      <c r="M780" s="83">
        <f t="shared" si="1"/>
        <v>450</v>
      </c>
      <c r="N780" s="84">
        <v>450.0</v>
      </c>
      <c r="O780" s="84"/>
      <c r="P780" s="84"/>
      <c r="Q780" s="94">
        <v>10153.0</v>
      </c>
      <c r="R780" s="94">
        <v>5281.0</v>
      </c>
      <c r="S780" s="95" t="s">
        <v>5381</v>
      </c>
      <c r="T780" s="94">
        <v>1.0</v>
      </c>
      <c r="U780" s="96">
        <v>40458.0</v>
      </c>
      <c r="V780" s="97" t="s">
        <v>5382</v>
      </c>
      <c r="W780" s="97" t="s">
        <v>5383</v>
      </c>
      <c r="X780" s="79" t="s">
        <v>5377</v>
      </c>
      <c r="Y780" s="98"/>
      <c r="Z780" s="98"/>
      <c r="AA780" s="98"/>
      <c r="AB780" s="98"/>
      <c r="AC780" s="98"/>
      <c r="AD780" s="98"/>
      <c r="AE780" s="98"/>
      <c r="AF780" s="98"/>
      <c r="AG780" s="98"/>
      <c r="AH780" s="98"/>
      <c r="AI780" s="98"/>
      <c r="AJ780" s="98"/>
      <c r="AK780" s="98"/>
      <c r="AL780" s="98"/>
      <c r="AM780" s="98"/>
      <c r="AN780" s="98"/>
      <c r="AO780" s="98"/>
      <c r="AP780" s="98"/>
      <c r="AQ780" s="98"/>
      <c r="AR780" s="98"/>
    </row>
    <row r="781" ht="19.5" customHeight="1">
      <c r="A781" s="79">
        <v>770.0</v>
      </c>
      <c r="B781" s="79" t="s">
        <v>38</v>
      </c>
      <c r="C781" s="79" t="s">
        <v>5384</v>
      </c>
      <c r="D781" s="79" t="s">
        <v>5385</v>
      </c>
      <c r="E781" s="93" t="s">
        <v>5386</v>
      </c>
      <c r="F781" s="79" t="s">
        <v>687</v>
      </c>
      <c r="G781" s="80" t="s">
        <v>42</v>
      </c>
      <c r="H781" s="80" t="s">
        <v>21</v>
      </c>
      <c r="I781" s="79" t="s">
        <v>5387</v>
      </c>
      <c r="J781" s="80" t="s">
        <v>43</v>
      </c>
      <c r="K781" s="79" t="s">
        <v>5384</v>
      </c>
      <c r="L781" s="92" t="s">
        <v>5388</v>
      </c>
      <c r="M781" s="83">
        <f t="shared" si="1"/>
        <v>100</v>
      </c>
      <c r="N781" s="84">
        <v>100.0</v>
      </c>
      <c r="O781" s="84"/>
      <c r="P781" s="84"/>
      <c r="Q781" s="94">
        <v>5350.0</v>
      </c>
      <c r="R781" s="94">
        <v>2552.0</v>
      </c>
      <c r="S781" s="95" t="s">
        <v>314</v>
      </c>
      <c r="T781" s="94">
        <v>1.0</v>
      </c>
      <c r="U781" s="96">
        <v>40973.0</v>
      </c>
      <c r="V781" s="97" t="s">
        <v>5389</v>
      </c>
      <c r="W781" s="97" t="s">
        <v>5390</v>
      </c>
      <c r="X781" s="79"/>
      <c r="Y781" s="98"/>
      <c r="Z781" s="98"/>
      <c r="AA781" s="98"/>
      <c r="AB781" s="98"/>
      <c r="AC781" s="98"/>
      <c r="AD781" s="98"/>
      <c r="AE781" s="98"/>
      <c r="AF781" s="98"/>
      <c r="AG781" s="98"/>
      <c r="AH781" s="98"/>
      <c r="AI781" s="98"/>
      <c r="AJ781" s="98"/>
      <c r="AK781" s="98"/>
      <c r="AL781" s="98"/>
      <c r="AM781" s="98"/>
      <c r="AN781" s="98"/>
      <c r="AO781" s="98"/>
      <c r="AP781" s="98"/>
      <c r="AQ781" s="98"/>
      <c r="AR781" s="98"/>
    </row>
    <row r="782" ht="19.5" customHeight="1">
      <c r="A782" s="79">
        <v>771.0</v>
      </c>
      <c r="B782" s="79" t="s">
        <v>38</v>
      </c>
      <c r="C782" s="79" t="s">
        <v>5384</v>
      </c>
      <c r="D782" s="79" t="s">
        <v>3383</v>
      </c>
      <c r="E782" s="93" t="s">
        <v>5391</v>
      </c>
      <c r="F782" s="79" t="s">
        <v>22</v>
      </c>
      <c r="G782" s="80" t="s">
        <v>46</v>
      </c>
      <c r="H782" s="80" t="s">
        <v>22</v>
      </c>
      <c r="I782" s="79" t="s">
        <v>5392</v>
      </c>
      <c r="J782" s="80" t="s">
        <v>43</v>
      </c>
      <c r="K782" s="79" t="s">
        <v>5392</v>
      </c>
      <c r="L782" s="92" t="s">
        <v>5393</v>
      </c>
      <c r="M782" s="83">
        <f t="shared" si="1"/>
        <v>150</v>
      </c>
      <c r="N782" s="84"/>
      <c r="O782" s="84">
        <v>100.0</v>
      </c>
      <c r="P782" s="84">
        <v>50.0</v>
      </c>
      <c r="Q782" s="94">
        <v>10664.0</v>
      </c>
      <c r="R782" s="94">
        <v>1357.0</v>
      </c>
      <c r="S782" s="95" t="s">
        <v>3091</v>
      </c>
      <c r="T782" s="94">
        <v>2.0</v>
      </c>
      <c r="U782" s="96">
        <v>37488.0</v>
      </c>
      <c r="V782" s="97" t="s">
        <v>5394</v>
      </c>
      <c r="W782" s="97" t="s">
        <v>5395</v>
      </c>
      <c r="X782" s="79"/>
      <c r="Y782" s="98"/>
      <c r="Z782" s="98"/>
      <c r="AA782" s="98"/>
      <c r="AB782" s="98"/>
      <c r="AC782" s="98"/>
      <c r="AD782" s="98"/>
      <c r="AE782" s="98"/>
      <c r="AF782" s="98"/>
      <c r="AG782" s="98"/>
      <c r="AH782" s="98"/>
      <c r="AI782" s="98"/>
      <c r="AJ782" s="98"/>
      <c r="AK782" s="98"/>
      <c r="AL782" s="98"/>
      <c r="AM782" s="98"/>
      <c r="AN782" s="98"/>
      <c r="AO782" s="98"/>
      <c r="AP782" s="98"/>
      <c r="AQ782" s="98"/>
      <c r="AR782" s="98"/>
    </row>
    <row r="783" ht="19.5" customHeight="1">
      <c r="A783" s="79">
        <v>772.0</v>
      </c>
      <c r="B783" s="79" t="s">
        <v>38</v>
      </c>
      <c r="C783" s="79" t="s">
        <v>5384</v>
      </c>
      <c r="D783" s="79" t="s">
        <v>3383</v>
      </c>
      <c r="E783" s="93" t="s">
        <v>5396</v>
      </c>
      <c r="F783" s="79" t="s">
        <v>22</v>
      </c>
      <c r="G783" s="80" t="s">
        <v>46</v>
      </c>
      <c r="H783" s="80" t="s">
        <v>22</v>
      </c>
      <c r="I783" s="79" t="s">
        <v>5397</v>
      </c>
      <c r="J783" s="80" t="s">
        <v>43</v>
      </c>
      <c r="K783" s="79" t="s">
        <v>5397</v>
      </c>
      <c r="L783" s="92" t="s">
        <v>5398</v>
      </c>
      <c r="M783" s="83">
        <f t="shared" si="1"/>
        <v>750</v>
      </c>
      <c r="N783" s="84"/>
      <c r="O783" s="84">
        <v>500.0</v>
      </c>
      <c r="P783" s="84">
        <v>250.0</v>
      </c>
      <c r="Q783" s="94">
        <v>23326.0</v>
      </c>
      <c r="R783" s="94">
        <v>2736.0</v>
      </c>
      <c r="S783" s="95" t="s">
        <v>350</v>
      </c>
      <c r="T783" s="94">
        <v>8.0</v>
      </c>
      <c r="U783" s="96">
        <v>35978.0</v>
      </c>
      <c r="V783" s="97" t="s">
        <v>5399</v>
      </c>
      <c r="W783" s="97" t="s">
        <v>5400</v>
      </c>
      <c r="X783" s="79" t="s">
        <v>5401</v>
      </c>
      <c r="Y783" s="98"/>
      <c r="Z783" s="98"/>
      <c r="AA783" s="98"/>
      <c r="AB783" s="98"/>
      <c r="AC783" s="98"/>
      <c r="AD783" s="98"/>
      <c r="AE783" s="98"/>
      <c r="AF783" s="98"/>
      <c r="AG783" s="98"/>
      <c r="AH783" s="98"/>
      <c r="AI783" s="98"/>
      <c r="AJ783" s="98"/>
      <c r="AK783" s="98"/>
      <c r="AL783" s="98"/>
      <c r="AM783" s="98"/>
      <c r="AN783" s="98"/>
      <c r="AO783" s="98"/>
      <c r="AP783" s="98"/>
      <c r="AQ783" s="98"/>
      <c r="AR783" s="98"/>
    </row>
    <row r="784" ht="19.5" customHeight="1">
      <c r="A784" s="79">
        <v>773.0</v>
      </c>
      <c r="B784" s="79" t="s">
        <v>38</v>
      </c>
      <c r="C784" s="79" t="s">
        <v>5384</v>
      </c>
      <c r="D784" s="79" t="s">
        <v>5402</v>
      </c>
      <c r="E784" s="93" t="s">
        <v>5403</v>
      </c>
      <c r="F784" s="79" t="s">
        <v>687</v>
      </c>
      <c r="G784" s="80" t="s">
        <v>48</v>
      </c>
      <c r="H784" s="80" t="s">
        <v>21</v>
      </c>
      <c r="I784" s="79" t="s">
        <v>5387</v>
      </c>
      <c r="J784" s="80" t="s">
        <v>45</v>
      </c>
      <c r="K784" s="79" t="s">
        <v>5404</v>
      </c>
      <c r="L784" s="92" t="s">
        <v>5405</v>
      </c>
      <c r="M784" s="83">
        <f t="shared" si="1"/>
        <v>350</v>
      </c>
      <c r="N784" s="84"/>
      <c r="O784" s="84">
        <v>100.0</v>
      </c>
      <c r="P784" s="84">
        <v>250.0</v>
      </c>
      <c r="Q784" s="94">
        <v>8871.0</v>
      </c>
      <c r="R784" s="94">
        <v>1415.0</v>
      </c>
      <c r="S784" s="95" t="s">
        <v>350</v>
      </c>
      <c r="T784" s="94">
        <v>2.0</v>
      </c>
      <c r="U784" s="96">
        <v>38908.0</v>
      </c>
      <c r="V784" s="97" t="s">
        <v>5406</v>
      </c>
      <c r="W784" s="97" t="s">
        <v>5406</v>
      </c>
      <c r="X784" s="79" t="s">
        <v>5407</v>
      </c>
      <c r="Y784" s="98"/>
      <c r="Z784" s="98"/>
      <c r="AA784" s="98"/>
      <c r="AB784" s="98"/>
      <c r="AC784" s="98"/>
      <c r="AD784" s="98"/>
      <c r="AE784" s="98"/>
      <c r="AF784" s="98"/>
      <c r="AG784" s="98"/>
      <c r="AH784" s="98"/>
      <c r="AI784" s="98"/>
      <c r="AJ784" s="98"/>
      <c r="AK784" s="98"/>
      <c r="AL784" s="98"/>
      <c r="AM784" s="98"/>
      <c r="AN784" s="98"/>
      <c r="AO784" s="98"/>
      <c r="AP784" s="98"/>
      <c r="AQ784" s="98"/>
      <c r="AR784" s="98"/>
    </row>
    <row r="785" ht="19.5" customHeight="1">
      <c r="A785" s="79">
        <v>774.0</v>
      </c>
      <c r="B785" s="91" t="s">
        <v>38</v>
      </c>
      <c r="C785" s="91" t="s">
        <v>5408</v>
      </c>
      <c r="D785" s="91" t="s">
        <v>5409</v>
      </c>
      <c r="E785" s="82" t="s">
        <v>5410</v>
      </c>
      <c r="F785" s="91" t="s">
        <v>81</v>
      </c>
      <c r="G785" s="80" t="s">
        <v>44</v>
      </c>
      <c r="H785" s="80" t="s">
        <v>21</v>
      </c>
      <c r="I785" s="91" t="s">
        <v>5411</v>
      </c>
      <c r="J785" s="80" t="s">
        <v>43</v>
      </c>
      <c r="K785" s="91" t="s">
        <v>5412</v>
      </c>
      <c r="L785" s="92" t="s">
        <v>5413</v>
      </c>
      <c r="M785" s="83">
        <f t="shared" si="1"/>
        <v>200</v>
      </c>
      <c r="N785" s="84">
        <v>200.0</v>
      </c>
      <c r="O785" s="84">
        <v>0.0</v>
      </c>
      <c r="P785" s="84">
        <v>0.0</v>
      </c>
      <c r="Q785" s="94">
        <v>14318.0</v>
      </c>
      <c r="R785" s="94">
        <v>872.0</v>
      </c>
      <c r="S785" s="95" t="s">
        <v>5414</v>
      </c>
      <c r="T785" s="94">
        <v>1.0</v>
      </c>
      <c r="U785" s="96">
        <v>36977.0</v>
      </c>
      <c r="V785" s="97" t="s">
        <v>5415</v>
      </c>
      <c r="W785" s="97" t="s">
        <v>5416</v>
      </c>
      <c r="X785" s="79" t="s">
        <v>5417</v>
      </c>
      <c r="Y785" s="98"/>
      <c r="Z785" s="98"/>
      <c r="AA785" s="98"/>
      <c r="AB785" s="98"/>
      <c r="AC785" s="98"/>
      <c r="AD785" s="98"/>
      <c r="AE785" s="98"/>
      <c r="AF785" s="98"/>
      <c r="AG785" s="98"/>
      <c r="AH785" s="98"/>
      <c r="AI785" s="98"/>
      <c r="AJ785" s="98"/>
      <c r="AK785" s="98"/>
      <c r="AL785" s="98"/>
      <c r="AM785" s="98"/>
      <c r="AN785" s="98"/>
      <c r="AO785" s="98"/>
      <c r="AP785" s="98"/>
      <c r="AQ785" s="98"/>
      <c r="AR785" s="98"/>
    </row>
    <row r="786" ht="19.5" customHeight="1">
      <c r="A786" s="79">
        <v>775.0</v>
      </c>
      <c r="B786" s="95" t="s">
        <v>38</v>
      </c>
      <c r="C786" s="95" t="s">
        <v>5408</v>
      </c>
      <c r="D786" s="95" t="s">
        <v>5418</v>
      </c>
      <c r="E786" s="127" t="s">
        <v>5419</v>
      </c>
      <c r="F786" s="95" t="s">
        <v>22</v>
      </c>
      <c r="G786" s="80" t="s">
        <v>12</v>
      </c>
      <c r="H786" s="80" t="s">
        <v>22</v>
      </c>
      <c r="I786" s="95" t="s">
        <v>5420</v>
      </c>
      <c r="J786" s="80" t="s">
        <v>43</v>
      </c>
      <c r="K786" s="95" t="s">
        <v>5421</v>
      </c>
      <c r="L786" s="92" t="s">
        <v>5422</v>
      </c>
      <c r="M786" s="83">
        <f t="shared" si="1"/>
        <v>379</v>
      </c>
      <c r="N786" s="84">
        <v>0.0</v>
      </c>
      <c r="O786" s="84">
        <v>379.0</v>
      </c>
      <c r="P786" s="84">
        <v>0.0</v>
      </c>
      <c r="Q786" s="94">
        <v>4071.0</v>
      </c>
      <c r="R786" s="94">
        <v>4157.0</v>
      </c>
      <c r="S786" s="95" t="s">
        <v>103</v>
      </c>
      <c r="T786" s="94">
        <v>2.0</v>
      </c>
      <c r="U786" s="96">
        <v>36147.0</v>
      </c>
      <c r="V786" s="97" t="s">
        <v>5423</v>
      </c>
      <c r="W786" s="97" t="s">
        <v>5424</v>
      </c>
      <c r="X786" s="79" t="s">
        <v>5425</v>
      </c>
      <c r="Y786" s="98"/>
      <c r="Z786" s="98"/>
      <c r="AA786" s="98"/>
      <c r="AB786" s="98"/>
      <c r="AC786" s="98"/>
      <c r="AD786" s="98"/>
      <c r="AE786" s="98"/>
      <c r="AF786" s="98"/>
      <c r="AG786" s="98"/>
      <c r="AH786" s="98"/>
      <c r="AI786" s="98"/>
      <c r="AJ786" s="98"/>
      <c r="AK786" s="98"/>
      <c r="AL786" s="98"/>
      <c r="AM786" s="98"/>
      <c r="AN786" s="98"/>
      <c r="AO786" s="98"/>
      <c r="AP786" s="98"/>
      <c r="AQ786" s="98"/>
      <c r="AR786" s="98"/>
    </row>
    <row r="787" ht="19.5" customHeight="1">
      <c r="A787" s="79">
        <v>776.0</v>
      </c>
      <c r="B787" s="91" t="s">
        <v>38</v>
      </c>
      <c r="C787" s="91" t="s">
        <v>5408</v>
      </c>
      <c r="D787" s="91" t="s">
        <v>5426</v>
      </c>
      <c r="E787" s="82" t="s">
        <v>5427</v>
      </c>
      <c r="F787" s="91" t="s">
        <v>81</v>
      </c>
      <c r="G787" s="80" t="s">
        <v>42</v>
      </c>
      <c r="H787" s="80" t="s">
        <v>21</v>
      </c>
      <c r="I787" s="91" t="s">
        <v>5411</v>
      </c>
      <c r="J787" s="80" t="s">
        <v>43</v>
      </c>
      <c r="K787" s="91" t="s">
        <v>5408</v>
      </c>
      <c r="L787" s="92" t="s">
        <v>5428</v>
      </c>
      <c r="M787" s="83">
        <f t="shared" si="1"/>
        <v>300</v>
      </c>
      <c r="N787" s="84">
        <v>300.0</v>
      </c>
      <c r="O787" s="84">
        <v>0.0</v>
      </c>
      <c r="P787" s="84">
        <v>0.0</v>
      </c>
      <c r="Q787" s="94">
        <v>15199.0</v>
      </c>
      <c r="R787" s="94">
        <v>2979.5</v>
      </c>
      <c r="S787" s="95" t="s">
        <v>786</v>
      </c>
      <c r="T787" s="94">
        <v>1.0</v>
      </c>
      <c r="U787" s="96">
        <v>36946.0</v>
      </c>
      <c r="V787" s="97" t="s">
        <v>5429</v>
      </c>
      <c r="W787" s="97" t="s">
        <v>5430</v>
      </c>
      <c r="X787" s="79" t="s">
        <v>5417</v>
      </c>
      <c r="Y787" s="98"/>
      <c r="Z787" s="98"/>
      <c r="AA787" s="98"/>
      <c r="AB787" s="98"/>
      <c r="AC787" s="98"/>
      <c r="AD787" s="98"/>
      <c r="AE787" s="98"/>
      <c r="AF787" s="98"/>
      <c r="AG787" s="98"/>
      <c r="AH787" s="98"/>
      <c r="AI787" s="98"/>
      <c r="AJ787" s="98"/>
      <c r="AK787" s="98"/>
      <c r="AL787" s="98"/>
      <c r="AM787" s="98"/>
      <c r="AN787" s="98"/>
      <c r="AO787" s="98"/>
      <c r="AP787" s="98"/>
      <c r="AQ787" s="98"/>
      <c r="AR787" s="98"/>
    </row>
    <row r="788" ht="19.5" customHeight="1">
      <c r="A788" s="79">
        <v>777.0</v>
      </c>
      <c r="B788" s="91" t="s">
        <v>38</v>
      </c>
      <c r="C788" s="91" t="s">
        <v>5408</v>
      </c>
      <c r="D788" s="91" t="s">
        <v>5431</v>
      </c>
      <c r="E788" s="82" t="s">
        <v>5432</v>
      </c>
      <c r="F788" s="91" t="s">
        <v>22</v>
      </c>
      <c r="G788" s="80" t="s">
        <v>46</v>
      </c>
      <c r="H788" s="80" t="s">
        <v>22</v>
      </c>
      <c r="I788" s="91" t="s">
        <v>5433</v>
      </c>
      <c r="J788" s="80" t="s">
        <v>43</v>
      </c>
      <c r="K788" s="91" t="s">
        <v>5434</v>
      </c>
      <c r="L788" s="92" t="s">
        <v>5435</v>
      </c>
      <c r="M788" s="83">
        <f t="shared" si="1"/>
        <v>1078</v>
      </c>
      <c r="N788" s="84">
        <v>0.0</v>
      </c>
      <c r="O788" s="84">
        <v>678.0</v>
      </c>
      <c r="P788" s="84">
        <v>400.0</v>
      </c>
      <c r="Q788" s="94">
        <v>41223.0</v>
      </c>
      <c r="R788" s="94">
        <v>5450.26</v>
      </c>
      <c r="S788" s="95" t="s">
        <v>5381</v>
      </c>
      <c r="T788" s="94">
        <v>3.0</v>
      </c>
      <c r="U788" s="96">
        <v>35472.0</v>
      </c>
      <c r="V788" s="97" t="s">
        <v>5436</v>
      </c>
      <c r="W788" s="97" t="s">
        <v>5437</v>
      </c>
      <c r="X788" s="79" t="s">
        <v>5438</v>
      </c>
      <c r="Y788" s="98"/>
      <c r="Z788" s="98"/>
      <c r="AA788" s="98"/>
      <c r="AB788" s="98"/>
      <c r="AC788" s="98"/>
      <c r="AD788" s="98"/>
      <c r="AE788" s="98"/>
      <c r="AF788" s="98"/>
      <c r="AG788" s="98"/>
      <c r="AH788" s="98"/>
      <c r="AI788" s="98"/>
      <c r="AJ788" s="98"/>
      <c r="AK788" s="98"/>
      <c r="AL788" s="98"/>
      <c r="AM788" s="98"/>
      <c r="AN788" s="98"/>
      <c r="AO788" s="98"/>
      <c r="AP788" s="98"/>
      <c r="AQ788" s="98"/>
      <c r="AR788" s="98"/>
    </row>
    <row r="789" ht="19.5" customHeight="1">
      <c r="A789" s="79">
        <v>778.0</v>
      </c>
      <c r="B789" s="91" t="s">
        <v>38</v>
      </c>
      <c r="C789" s="91" t="s">
        <v>5408</v>
      </c>
      <c r="D789" s="91" t="s">
        <v>1493</v>
      </c>
      <c r="E789" s="82" t="s">
        <v>5439</v>
      </c>
      <c r="F789" s="91" t="s">
        <v>22</v>
      </c>
      <c r="G789" s="80" t="s">
        <v>48</v>
      </c>
      <c r="H789" s="80" t="s">
        <v>22</v>
      </c>
      <c r="I789" s="91" t="s">
        <v>5440</v>
      </c>
      <c r="J789" s="80" t="s">
        <v>43</v>
      </c>
      <c r="K789" s="91" t="s">
        <v>5441</v>
      </c>
      <c r="L789" s="92" t="s">
        <v>5442</v>
      </c>
      <c r="M789" s="83">
        <f t="shared" si="1"/>
        <v>120</v>
      </c>
      <c r="N789" s="84">
        <v>0.0</v>
      </c>
      <c r="O789" s="84">
        <v>0.0</v>
      </c>
      <c r="P789" s="84">
        <v>120.0</v>
      </c>
      <c r="Q789" s="94">
        <v>11921.0</v>
      </c>
      <c r="R789" s="94">
        <v>358.0</v>
      </c>
      <c r="S789" s="95" t="s">
        <v>704</v>
      </c>
      <c r="T789" s="94">
        <v>1.0</v>
      </c>
      <c r="U789" s="96">
        <v>42395.0</v>
      </c>
      <c r="V789" s="97" t="s">
        <v>5443</v>
      </c>
      <c r="W789" s="97" t="s">
        <v>5444</v>
      </c>
      <c r="X789" s="79" t="s">
        <v>5445</v>
      </c>
      <c r="Y789" s="98"/>
      <c r="Z789" s="98"/>
      <c r="AA789" s="98"/>
      <c r="AB789" s="98"/>
      <c r="AC789" s="98"/>
      <c r="AD789" s="98"/>
      <c r="AE789" s="98"/>
      <c r="AF789" s="98"/>
      <c r="AG789" s="98"/>
      <c r="AH789" s="98"/>
      <c r="AI789" s="98"/>
      <c r="AJ789" s="98"/>
      <c r="AK789" s="98"/>
      <c r="AL789" s="98"/>
      <c r="AM789" s="98"/>
      <c r="AN789" s="98"/>
      <c r="AO789" s="98"/>
      <c r="AP789" s="98"/>
      <c r="AQ789" s="98"/>
      <c r="AR789" s="98"/>
    </row>
    <row r="790" ht="19.5" customHeight="1">
      <c r="A790" s="79">
        <v>779.0</v>
      </c>
      <c r="B790" s="91" t="s">
        <v>38</v>
      </c>
      <c r="C790" s="91" t="s">
        <v>5408</v>
      </c>
      <c r="D790" s="91" t="s">
        <v>5431</v>
      </c>
      <c r="E790" s="82" t="s">
        <v>5446</v>
      </c>
      <c r="F790" s="91" t="s">
        <v>22</v>
      </c>
      <c r="G790" s="80" t="s">
        <v>12</v>
      </c>
      <c r="H790" s="80" t="s">
        <v>22</v>
      </c>
      <c r="I790" s="91" t="s">
        <v>5447</v>
      </c>
      <c r="J790" s="80" t="s">
        <v>43</v>
      </c>
      <c r="K790" s="91" t="s">
        <v>5447</v>
      </c>
      <c r="L790" s="92" t="s">
        <v>5448</v>
      </c>
      <c r="M790" s="83">
        <f t="shared" si="1"/>
        <v>80</v>
      </c>
      <c r="N790" s="84">
        <v>0.0</v>
      </c>
      <c r="O790" s="84">
        <v>80.0</v>
      </c>
      <c r="P790" s="84">
        <v>0.0</v>
      </c>
      <c r="Q790" s="94">
        <v>4995.0</v>
      </c>
      <c r="R790" s="94">
        <v>782.0</v>
      </c>
      <c r="S790" s="95" t="s">
        <v>704</v>
      </c>
      <c r="T790" s="94">
        <v>4.0</v>
      </c>
      <c r="U790" s="96">
        <v>43749.0</v>
      </c>
      <c r="V790" s="97" t="s">
        <v>5449</v>
      </c>
      <c r="W790" s="97" t="s">
        <v>5450</v>
      </c>
      <c r="X790" s="79"/>
      <c r="Y790" s="98"/>
      <c r="Z790" s="98"/>
      <c r="AA790" s="98"/>
      <c r="AB790" s="98"/>
      <c r="AC790" s="98"/>
      <c r="AD790" s="98"/>
      <c r="AE790" s="98"/>
      <c r="AF790" s="98"/>
      <c r="AG790" s="98"/>
      <c r="AH790" s="98"/>
      <c r="AI790" s="98"/>
      <c r="AJ790" s="98"/>
      <c r="AK790" s="98"/>
      <c r="AL790" s="98"/>
      <c r="AM790" s="98"/>
      <c r="AN790" s="98"/>
      <c r="AO790" s="98"/>
      <c r="AP790" s="98"/>
      <c r="AQ790" s="98"/>
      <c r="AR790" s="98"/>
    </row>
    <row r="791" ht="19.5" customHeight="1">
      <c r="A791" s="79">
        <v>780.0</v>
      </c>
      <c r="B791" s="91" t="s">
        <v>38</v>
      </c>
      <c r="C791" s="91" t="s">
        <v>5408</v>
      </c>
      <c r="D791" s="91" t="s">
        <v>5451</v>
      </c>
      <c r="E791" s="82" t="s">
        <v>5452</v>
      </c>
      <c r="F791" s="91" t="s">
        <v>81</v>
      </c>
      <c r="G791" s="80" t="s">
        <v>44</v>
      </c>
      <c r="H791" s="80" t="s">
        <v>21</v>
      </c>
      <c r="I791" s="91" t="s">
        <v>5411</v>
      </c>
      <c r="J791" s="80" t="s">
        <v>45</v>
      </c>
      <c r="K791" s="91" t="s">
        <v>5453</v>
      </c>
      <c r="L791" s="92" t="s">
        <v>5454</v>
      </c>
      <c r="M791" s="83">
        <f t="shared" si="1"/>
        <v>300</v>
      </c>
      <c r="N791" s="84">
        <v>300.0</v>
      </c>
      <c r="O791" s="84"/>
      <c r="P791" s="84">
        <v>0.0</v>
      </c>
      <c r="Q791" s="94">
        <v>3142.0</v>
      </c>
      <c r="R791" s="94">
        <v>4044.33</v>
      </c>
      <c r="S791" s="95" t="s">
        <v>704</v>
      </c>
      <c r="T791" s="94">
        <v>1.0</v>
      </c>
      <c r="U791" s="96">
        <v>45511.0</v>
      </c>
      <c r="V791" s="97" t="s">
        <v>5455</v>
      </c>
      <c r="W791" s="97" t="s">
        <v>5456</v>
      </c>
      <c r="X791" s="79" t="s">
        <v>5457</v>
      </c>
      <c r="Y791" s="98"/>
      <c r="Z791" s="98"/>
      <c r="AA791" s="98"/>
      <c r="AB791" s="98"/>
      <c r="AC791" s="98"/>
      <c r="AD791" s="98"/>
      <c r="AE791" s="98"/>
      <c r="AF791" s="98"/>
      <c r="AG791" s="98"/>
      <c r="AH791" s="98"/>
      <c r="AI791" s="98"/>
      <c r="AJ791" s="98"/>
      <c r="AK791" s="98"/>
      <c r="AL791" s="98"/>
      <c r="AM791" s="98"/>
      <c r="AN791" s="98"/>
      <c r="AO791" s="98"/>
      <c r="AP791" s="98"/>
      <c r="AQ791" s="98"/>
      <c r="AR791" s="98"/>
    </row>
    <row r="792" ht="19.5" customHeight="1">
      <c r="A792" s="79">
        <v>781.0</v>
      </c>
      <c r="B792" s="79" t="s">
        <v>38</v>
      </c>
      <c r="C792" s="79" t="s">
        <v>5458</v>
      </c>
      <c r="D792" s="79" t="s">
        <v>5459</v>
      </c>
      <c r="E792" s="93" t="s">
        <v>5460</v>
      </c>
      <c r="F792" s="79" t="s">
        <v>22</v>
      </c>
      <c r="G792" s="80" t="s">
        <v>46</v>
      </c>
      <c r="H792" s="80" t="s">
        <v>22</v>
      </c>
      <c r="I792" s="79" t="s">
        <v>5461</v>
      </c>
      <c r="J792" s="80" t="s">
        <v>43</v>
      </c>
      <c r="K792" s="79" t="s">
        <v>5462</v>
      </c>
      <c r="L792" s="92" t="s">
        <v>5463</v>
      </c>
      <c r="M792" s="83">
        <f t="shared" si="1"/>
        <v>700</v>
      </c>
      <c r="N792" s="84">
        <v>0.0</v>
      </c>
      <c r="O792" s="84">
        <v>499.0</v>
      </c>
      <c r="P792" s="84">
        <v>201.0</v>
      </c>
      <c r="Q792" s="94">
        <v>57973.0</v>
      </c>
      <c r="R792" s="94">
        <v>11274.0</v>
      </c>
      <c r="S792" s="95" t="s">
        <v>194</v>
      </c>
      <c r="T792" s="94">
        <v>4.0</v>
      </c>
      <c r="U792" s="96">
        <v>36970.0</v>
      </c>
      <c r="V792" s="97" t="s">
        <v>5464</v>
      </c>
      <c r="W792" s="97" t="s">
        <v>5465</v>
      </c>
      <c r="X792" s="79" t="s">
        <v>5466</v>
      </c>
      <c r="Y792" s="98"/>
      <c r="Z792" s="98"/>
      <c r="AA792" s="98"/>
      <c r="AB792" s="98"/>
      <c r="AC792" s="98"/>
      <c r="AD792" s="98"/>
      <c r="AE792" s="98"/>
      <c r="AF792" s="98"/>
      <c r="AG792" s="98"/>
      <c r="AH792" s="98"/>
      <c r="AI792" s="98"/>
      <c r="AJ792" s="98"/>
      <c r="AK792" s="98"/>
      <c r="AL792" s="98"/>
      <c r="AM792" s="98"/>
      <c r="AN792" s="98"/>
      <c r="AO792" s="98"/>
      <c r="AP792" s="98"/>
      <c r="AQ792" s="98"/>
      <c r="AR792" s="98"/>
    </row>
    <row r="793" ht="19.5" customHeight="1">
      <c r="A793" s="79">
        <v>782.0</v>
      </c>
      <c r="B793" s="79" t="s">
        <v>38</v>
      </c>
      <c r="C793" s="79" t="s">
        <v>5458</v>
      </c>
      <c r="D793" s="79" t="s">
        <v>5467</v>
      </c>
      <c r="E793" s="93" t="s">
        <v>5468</v>
      </c>
      <c r="F793" s="79" t="s">
        <v>687</v>
      </c>
      <c r="G793" s="80" t="s">
        <v>42</v>
      </c>
      <c r="H793" s="80" t="s">
        <v>21</v>
      </c>
      <c r="I793" s="79" t="s">
        <v>5469</v>
      </c>
      <c r="J793" s="80" t="s">
        <v>43</v>
      </c>
      <c r="K793" s="79" t="s">
        <v>5458</v>
      </c>
      <c r="L793" s="92" t="s">
        <v>5470</v>
      </c>
      <c r="M793" s="83">
        <f t="shared" si="1"/>
        <v>450</v>
      </c>
      <c r="N793" s="84">
        <v>0.0</v>
      </c>
      <c r="O793" s="84">
        <v>450.0</v>
      </c>
      <c r="P793" s="84">
        <v>0.0</v>
      </c>
      <c r="Q793" s="94">
        <v>7732.0</v>
      </c>
      <c r="R793" s="94">
        <v>2820.0</v>
      </c>
      <c r="S793" s="95" t="s">
        <v>291</v>
      </c>
      <c r="T793" s="94">
        <v>1.0</v>
      </c>
      <c r="U793" s="96">
        <v>35660.0</v>
      </c>
      <c r="V793" s="97" t="s">
        <v>5471</v>
      </c>
      <c r="W793" s="97" t="s">
        <v>5472</v>
      </c>
      <c r="X793" s="79" t="s">
        <v>5473</v>
      </c>
      <c r="Y793" s="98"/>
      <c r="Z793" s="98"/>
      <c r="AA793" s="98"/>
      <c r="AB793" s="98"/>
      <c r="AC793" s="98"/>
      <c r="AD793" s="98"/>
      <c r="AE793" s="98"/>
      <c r="AF793" s="98"/>
      <c r="AG793" s="98"/>
      <c r="AH793" s="98"/>
      <c r="AI793" s="98"/>
      <c r="AJ793" s="98"/>
      <c r="AK793" s="98"/>
      <c r="AL793" s="98"/>
      <c r="AM793" s="98"/>
      <c r="AN793" s="98"/>
      <c r="AO793" s="98"/>
      <c r="AP793" s="98"/>
      <c r="AQ793" s="98"/>
      <c r="AR793" s="98"/>
    </row>
    <row r="794" ht="19.5" customHeight="1">
      <c r="A794" s="79">
        <v>783.0</v>
      </c>
      <c r="B794" s="79" t="s">
        <v>38</v>
      </c>
      <c r="C794" s="79" t="s">
        <v>5458</v>
      </c>
      <c r="D794" s="79" t="s">
        <v>5474</v>
      </c>
      <c r="E794" s="93" t="s">
        <v>5475</v>
      </c>
      <c r="F794" s="79" t="s">
        <v>687</v>
      </c>
      <c r="G794" s="80" t="s">
        <v>44</v>
      </c>
      <c r="H794" s="80" t="s">
        <v>21</v>
      </c>
      <c r="I794" s="79" t="s">
        <v>5469</v>
      </c>
      <c r="J794" s="80" t="s">
        <v>45</v>
      </c>
      <c r="K794" s="79" t="s">
        <v>5476</v>
      </c>
      <c r="L794" s="92" t="s">
        <v>5477</v>
      </c>
      <c r="M794" s="83">
        <f t="shared" si="1"/>
        <v>120</v>
      </c>
      <c r="N794" s="84">
        <v>120.0</v>
      </c>
      <c r="O794" s="84">
        <v>0.0</v>
      </c>
      <c r="P794" s="84">
        <v>0.0</v>
      </c>
      <c r="Q794" s="94">
        <v>5120.0</v>
      </c>
      <c r="R794" s="94">
        <v>1236.96</v>
      </c>
      <c r="S794" s="95" t="s">
        <v>350</v>
      </c>
      <c r="T794" s="94">
        <v>1.0</v>
      </c>
      <c r="U794" s="96">
        <v>43861.0</v>
      </c>
      <c r="V794" s="97" t="s">
        <v>5478</v>
      </c>
      <c r="W794" s="97" t="s">
        <v>5479</v>
      </c>
      <c r="X794" s="79" t="s">
        <v>5480</v>
      </c>
      <c r="Y794" s="98"/>
      <c r="Z794" s="98"/>
      <c r="AA794" s="98"/>
      <c r="AB794" s="98"/>
      <c r="AC794" s="98"/>
      <c r="AD794" s="98"/>
      <c r="AE794" s="98"/>
      <c r="AF794" s="98"/>
      <c r="AG794" s="98"/>
      <c r="AH794" s="98"/>
      <c r="AI794" s="98"/>
      <c r="AJ794" s="98"/>
      <c r="AK794" s="98"/>
      <c r="AL794" s="98"/>
      <c r="AM794" s="98"/>
      <c r="AN794" s="98"/>
      <c r="AO794" s="98"/>
      <c r="AP794" s="98"/>
      <c r="AQ794" s="98"/>
      <c r="AR794" s="98"/>
    </row>
    <row r="795" ht="19.5" customHeight="1">
      <c r="A795" s="79">
        <v>784.0</v>
      </c>
      <c r="B795" s="79" t="s">
        <v>38</v>
      </c>
      <c r="C795" s="79" t="s">
        <v>5481</v>
      </c>
      <c r="D795" s="79" t="s">
        <v>5482</v>
      </c>
      <c r="E795" s="93" t="s">
        <v>5483</v>
      </c>
      <c r="F795" s="79" t="s">
        <v>81</v>
      </c>
      <c r="G795" s="80" t="s">
        <v>42</v>
      </c>
      <c r="H795" s="80" t="s">
        <v>21</v>
      </c>
      <c r="I795" s="79" t="s">
        <v>5484</v>
      </c>
      <c r="J795" s="80" t="s">
        <v>43</v>
      </c>
      <c r="K795" s="79" t="s">
        <v>5481</v>
      </c>
      <c r="L795" s="92" t="s">
        <v>5485</v>
      </c>
      <c r="M795" s="83">
        <f t="shared" si="1"/>
        <v>688</v>
      </c>
      <c r="N795" s="84">
        <v>688.0</v>
      </c>
      <c r="O795" s="84">
        <v>0.0</v>
      </c>
      <c r="P795" s="84">
        <v>0.0</v>
      </c>
      <c r="Q795" s="94">
        <v>5737.0</v>
      </c>
      <c r="R795" s="94">
        <v>4454.0</v>
      </c>
      <c r="S795" s="95" t="s">
        <v>538</v>
      </c>
      <c r="T795" s="94">
        <v>2.0</v>
      </c>
      <c r="U795" s="96">
        <v>37760.0</v>
      </c>
      <c r="V795" s="97" t="s">
        <v>5486</v>
      </c>
      <c r="W795" s="97" t="s">
        <v>5487</v>
      </c>
      <c r="X795" s="79" t="s">
        <v>5488</v>
      </c>
      <c r="Y795" s="98"/>
      <c r="Z795" s="98"/>
      <c r="AA795" s="98"/>
      <c r="AB795" s="98"/>
      <c r="AC795" s="98"/>
      <c r="AD795" s="98"/>
      <c r="AE795" s="98"/>
      <c r="AF795" s="98"/>
      <c r="AG795" s="98"/>
      <c r="AH795" s="98"/>
      <c r="AI795" s="98"/>
      <c r="AJ795" s="98"/>
      <c r="AK795" s="98"/>
      <c r="AL795" s="98"/>
      <c r="AM795" s="98"/>
      <c r="AN795" s="98"/>
      <c r="AO795" s="98"/>
      <c r="AP795" s="98"/>
      <c r="AQ795" s="98"/>
      <c r="AR795" s="98"/>
    </row>
    <row r="796" ht="19.5" customHeight="1">
      <c r="A796" s="79">
        <v>785.0</v>
      </c>
      <c r="B796" s="79" t="s">
        <v>38</v>
      </c>
      <c r="C796" s="79" t="s">
        <v>5481</v>
      </c>
      <c r="D796" s="79" t="s">
        <v>5489</v>
      </c>
      <c r="E796" s="93" t="s">
        <v>5490</v>
      </c>
      <c r="F796" s="95" t="s">
        <v>311</v>
      </c>
      <c r="G796" s="80" t="s">
        <v>12</v>
      </c>
      <c r="H796" s="80" t="s">
        <v>21</v>
      </c>
      <c r="I796" s="79" t="s">
        <v>482</v>
      </c>
      <c r="J796" s="80" t="s">
        <v>43</v>
      </c>
      <c r="K796" s="79" t="s">
        <v>482</v>
      </c>
      <c r="L796" s="92" t="s">
        <v>5491</v>
      </c>
      <c r="M796" s="83">
        <f t="shared" si="1"/>
        <v>172</v>
      </c>
      <c r="N796" s="84">
        <v>0.0</v>
      </c>
      <c r="O796" s="84">
        <v>172.0</v>
      </c>
      <c r="P796" s="84">
        <v>0.0</v>
      </c>
      <c r="Q796" s="94">
        <v>47943.0</v>
      </c>
      <c r="R796" s="94">
        <v>11817.98</v>
      </c>
      <c r="S796" s="95" t="s">
        <v>380</v>
      </c>
      <c r="T796" s="94" t="s">
        <v>5492</v>
      </c>
      <c r="U796" s="96">
        <v>45176.0</v>
      </c>
      <c r="V796" s="97" t="s">
        <v>5493</v>
      </c>
      <c r="W796" s="97" t="s">
        <v>5494</v>
      </c>
      <c r="X796" s="79" t="s">
        <v>5495</v>
      </c>
      <c r="Y796" s="98"/>
      <c r="Z796" s="98"/>
      <c r="AA796" s="98"/>
      <c r="AB796" s="98"/>
      <c r="AC796" s="98"/>
      <c r="AD796" s="98"/>
      <c r="AE796" s="98"/>
      <c r="AF796" s="98"/>
      <c r="AG796" s="98"/>
      <c r="AH796" s="98"/>
      <c r="AI796" s="98"/>
      <c r="AJ796" s="98"/>
      <c r="AK796" s="98"/>
      <c r="AL796" s="98"/>
      <c r="AM796" s="98"/>
      <c r="AN796" s="98"/>
      <c r="AO796" s="98"/>
      <c r="AP796" s="98"/>
      <c r="AQ796" s="98"/>
      <c r="AR796" s="98"/>
    </row>
    <row r="797" ht="19.5" customHeight="1">
      <c r="A797" s="79">
        <v>786.0</v>
      </c>
      <c r="B797" s="79" t="s">
        <v>38</v>
      </c>
      <c r="C797" s="79" t="s">
        <v>5496</v>
      </c>
      <c r="D797" s="79" t="s">
        <v>5497</v>
      </c>
      <c r="E797" s="93" t="s">
        <v>5498</v>
      </c>
      <c r="F797" s="79" t="s">
        <v>687</v>
      </c>
      <c r="G797" s="80" t="s">
        <v>44</v>
      </c>
      <c r="H797" s="80" t="s">
        <v>21</v>
      </c>
      <c r="I797" s="79" t="s">
        <v>5496</v>
      </c>
      <c r="J797" s="80" t="s">
        <v>45</v>
      </c>
      <c r="K797" s="79" t="s">
        <v>5351</v>
      </c>
      <c r="L797" s="92" t="s">
        <v>5499</v>
      </c>
      <c r="M797" s="83">
        <f t="shared" si="1"/>
        <v>100</v>
      </c>
      <c r="N797" s="84">
        <v>100.0</v>
      </c>
      <c r="O797" s="84"/>
      <c r="P797" s="84"/>
      <c r="Q797" s="94">
        <v>847.0</v>
      </c>
      <c r="R797" s="94">
        <v>874.0</v>
      </c>
      <c r="S797" s="95" t="s">
        <v>3091</v>
      </c>
      <c r="T797" s="94">
        <v>1.0</v>
      </c>
      <c r="U797" s="96">
        <v>38585.0</v>
      </c>
      <c r="V797" s="97" t="s">
        <v>5500</v>
      </c>
      <c r="W797" s="97" t="s">
        <v>5501</v>
      </c>
      <c r="X797" s="79" t="s">
        <v>5502</v>
      </c>
      <c r="Y797" s="98"/>
      <c r="Z797" s="98"/>
      <c r="AA797" s="98"/>
      <c r="AB797" s="98"/>
      <c r="AC797" s="98"/>
      <c r="AD797" s="98"/>
      <c r="AE797" s="98"/>
      <c r="AF797" s="98"/>
      <c r="AG797" s="98"/>
      <c r="AH797" s="98"/>
      <c r="AI797" s="98"/>
      <c r="AJ797" s="98"/>
      <c r="AK797" s="98"/>
      <c r="AL797" s="98"/>
      <c r="AM797" s="98"/>
      <c r="AN797" s="98"/>
      <c r="AO797" s="98"/>
      <c r="AP797" s="98"/>
      <c r="AQ797" s="98"/>
      <c r="AR797" s="98"/>
    </row>
    <row r="798" ht="19.5" customHeight="1">
      <c r="A798" s="79">
        <v>787.0</v>
      </c>
      <c r="B798" s="79" t="s">
        <v>38</v>
      </c>
      <c r="C798" s="79" t="s">
        <v>5496</v>
      </c>
      <c r="D798" s="79" t="s">
        <v>5503</v>
      </c>
      <c r="E798" s="93" t="s">
        <v>5504</v>
      </c>
      <c r="F798" s="79" t="s">
        <v>22</v>
      </c>
      <c r="G798" s="80" t="s">
        <v>46</v>
      </c>
      <c r="H798" s="80" t="s">
        <v>22</v>
      </c>
      <c r="I798" s="79" t="s">
        <v>5505</v>
      </c>
      <c r="J798" s="80" t="s">
        <v>43</v>
      </c>
      <c r="K798" s="79" t="s">
        <v>5505</v>
      </c>
      <c r="L798" s="92" t="s">
        <v>5506</v>
      </c>
      <c r="M798" s="83">
        <f t="shared" si="1"/>
        <v>460</v>
      </c>
      <c r="N798" s="84"/>
      <c r="O798" s="84">
        <v>460.0</v>
      </c>
      <c r="P798" s="84"/>
      <c r="Q798" s="94">
        <v>47056.0</v>
      </c>
      <c r="R798" s="94">
        <v>5331.0</v>
      </c>
      <c r="S798" s="95" t="s">
        <v>5507</v>
      </c>
      <c r="T798" s="94">
        <v>2.0</v>
      </c>
      <c r="U798" s="96">
        <v>35020.0</v>
      </c>
      <c r="V798" s="97" t="s">
        <v>5508</v>
      </c>
      <c r="W798" s="97" t="s">
        <v>5509</v>
      </c>
      <c r="X798" s="79" t="s">
        <v>5510</v>
      </c>
      <c r="Y798" s="98"/>
      <c r="Z798" s="98"/>
      <c r="AA798" s="98"/>
      <c r="AB798" s="98"/>
      <c r="AC798" s="98"/>
      <c r="AD798" s="98"/>
      <c r="AE798" s="98"/>
      <c r="AF798" s="98"/>
      <c r="AG798" s="98"/>
      <c r="AH798" s="98"/>
      <c r="AI798" s="98"/>
      <c r="AJ798" s="98"/>
      <c r="AK798" s="98"/>
      <c r="AL798" s="98"/>
      <c r="AM798" s="98"/>
      <c r="AN798" s="98"/>
      <c r="AO798" s="98"/>
      <c r="AP798" s="98"/>
      <c r="AQ798" s="98"/>
      <c r="AR798" s="98"/>
    </row>
    <row r="799" ht="19.5" customHeight="1">
      <c r="A799" s="79">
        <v>788.0</v>
      </c>
      <c r="B799" s="79" t="s">
        <v>38</v>
      </c>
      <c r="C799" s="79" t="s">
        <v>5496</v>
      </c>
      <c r="D799" s="79" t="s">
        <v>5511</v>
      </c>
      <c r="E799" s="93" t="s">
        <v>5512</v>
      </c>
      <c r="F799" s="79" t="s">
        <v>687</v>
      </c>
      <c r="G799" s="80" t="s">
        <v>12</v>
      </c>
      <c r="H799" s="80" t="s">
        <v>21</v>
      </c>
      <c r="I799" s="79" t="s">
        <v>5496</v>
      </c>
      <c r="J799" s="80" t="s">
        <v>43</v>
      </c>
      <c r="K799" s="79" t="s">
        <v>5513</v>
      </c>
      <c r="L799" s="92" t="s">
        <v>5514</v>
      </c>
      <c r="M799" s="83">
        <f t="shared" si="1"/>
        <v>156</v>
      </c>
      <c r="N799" s="84">
        <v>0.0</v>
      </c>
      <c r="O799" s="84">
        <v>124.0</v>
      </c>
      <c r="P799" s="84">
        <v>32.0</v>
      </c>
      <c r="Q799" s="94">
        <v>13746.0</v>
      </c>
      <c r="R799" s="94">
        <v>1143.0</v>
      </c>
      <c r="S799" s="95" t="s">
        <v>704</v>
      </c>
      <c r="T799" s="94">
        <v>10.0</v>
      </c>
      <c r="U799" s="96">
        <v>42116.0</v>
      </c>
      <c r="V799" s="97" t="s">
        <v>5515</v>
      </c>
      <c r="W799" s="97" t="s">
        <v>5516</v>
      </c>
      <c r="X799" s="79" t="s">
        <v>5517</v>
      </c>
      <c r="Y799" s="98"/>
      <c r="Z799" s="98"/>
      <c r="AA799" s="98"/>
      <c r="AB799" s="98"/>
      <c r="AC799" s="98"/>
      <c r="AD799" s="98"/>
      <c r="AE799" s="98"/>
      <c r="AF799" s="98"/>
      <c r="AG799" s="98"/>
      <c r="AH799" s="98"/>
      <c r="AI799" s="98"/>
      <c r="AJ799" s="98"/>
      <c r="AK799" s="98"/>
      <c r="AL799" s="98"/>
      <c r="AM799" s="98"/>
      <c r="AN799" s="98"/>
      <c r="AO799" s="98"/>
      <c r="AP799" s="98"/>
      <c r="AQ799" s="98"/>
      <c r="AR799" s="98"/>
    </row>
    <row r="800" ht="19.5" customHeight="1">
      <c r="A800" s="79">
        <v>789.0</v>
      </c>
      <c r="B800" s="79" t="s">
        <v>38</v>
      </c>
      <c r="C800" s="79" t="s">
        <v>5496</v>
      </c>
      <c r="D800" s="79" t="s">
        <v>5518</v>
      </c>
      <c r="E800" s="93" t="s">
        <v>5519</v>
      </c>
      <c r="F800" s="79" t="s">
        <v>687</v>
      </c>
      <c r="G800" s="80" t="s">
        <v>42</v>
      </c>
      <c r="H800" s="80" t="s">
        <v>21</v>
      </c>
      <c r="I800" s="79" t="s">
        <v>5496</v>
      </c>
      <c r="J800" s="80" t="s">
        <v>45</v>
      </c>
      <c r="K800" s="79" t="s">
        <v>5351</v>
      </c>
      <c r="L800" s="92" t="s">
        <v>5520</v>
      </c>
      <c r="M800" s="83">
        <f t="shared" si="1"/>
        <v>300</v>
      </c>
      <c r="N800" s="84">
        <v>300.0</v>
      </c>
      <c r="O800" s="84"/>
      <c r="P800" s="84"/>
      <c r="Q800" s="94">
        <v>1036.0</v>
      </c>
      <c r="R800" s="94">
        <v>2225.0</v>
      </c>
      <c r="S800" s="95" t="s">
        <v>373</v>
      </c>
      <c r="T800" s="94">
        <v>1.0</v>
      </c>
      <c r="U800" s="96">
        <v>42466.0</v>
      </c>
      <c r="V800" s="97" t="s">
        <v>5521</v>
      </c>
      <c r="W800" s="97" t="s">
        <v>5522</v>
      </c>
      <c r="X800" s="79" t="s">
        <v>5523</v>
      </c>
      <c r="Y800" s="98"/>
      <c r="Z800" s="98"/>
      <c r="AA800" s="98"/>
      <c r="AB800" s="98"/>
      <c r="AC800" s="98"/>
      <c r="AD800" s="98"/>
      <c r="AE800" s="98"/>
      <c r="AF800" s="98"/>
      <c r="AG800" s="98"/>
      <c r="AH800" s="98"/>
      <c r="AI800" s="98"/>
      <c r="AJ800" s="98"/>
      <c r="AK800" s="98"/>
      <c r="AL800" s="98"/>
      <c r="AM800" s="98"/>
      <c r="AN800" s="98"/>
      <c r="AO800" s="98"/>
      <c r="AP800" s="98"/>
      <c r="AQ800" s="98"/>
      <c r="AR800" s="98"/>
    </row>
    <row r="801" ht="19.5" customHeight="1">
      <c r="A801" s="79">
        <v>790.0</v>
      </c>
      <c r="B801" s="79" t="s">
        <v>38</v>
      </c>
      <c r="C801" s="79" t="s">
        <v>5496</v>
      </c>
      <c r="D801" s="79" t="s">
        <v>5524</v>
      </c>
      <c r="E801" s="93" t="s">
        <v>5525</v>
      </c>
      <c r="F801" s="79" t="s">
        <v>687</v>
      </c>
      <c r="G801" s="80" t="s">
        <v>44</v>
      </c>
      <c r="H801" s="80" t="s">
        <v>21</v>
      </c>
      <c r="I801" s="79" t="s">
        <v>5496</v>
      </c>
      <c r="J801" s="80" t="s">
        <v>45</v>
      </c>
      <c r="K801" s="79" t="s">
        <v>5351</v>
      </c>
      <c r="L801" s="92" t="s">
        <v>5526</v>
      </c>
      <c r="M801" s="83">
        <f t="shared" si="1"/>
        <v>100</v>
      </c>
      <c r="N801" s="84">
        <v>100.0</v>
      </c>
      <c r="O801" s="84"/>
      <c r="P801" s="84"/>
      <c r="Q801" s="94">
        <v>1563.0</v>
      </c>
      <c r="R801" s="94">
        <v>807.0</v>
      </c>
      <c r="S801" s="95" t="s">
        <v>350</v>
      </c>
      <c r="T801" s="94">
        <v>1.0</v>
      </c>
      <c r="U801" s="96">
        <v>38297.0</v>
      </c>
      <c r="V801" s="97" t="s">
        <v>5527</v>
      </c>
      <c r="W801" s="97" t="s">
        <v>5528</v>
      </c>
      <c r="X801" s="79" t="s">
        <v>5529</v>
      </c>
      <c r="Y801" s="98"/>
      <c r="Z801" s="98"/>
      <c r="AA801" s="98"/>
      <c r="AB801" s="98"/>
      <c r="AC801" s="98"/>
      <c r="AD801" s="98"/>
      <c r="AE801" s="98"/>
      <c r="AF801" s="98"/>
      <c r="AG801" s="98"/>
      <c r="AH801" s="98"/>
      <c r="AI801" s="98"/>
      <c r="AJ801" s="98"/>
      <c r="AK801" s="98"/>
      <c r="AL801" s="98"/>
      <c r="AM801" s="98"/>
      <c r="AN801" s="98"/>
      <c r="AO801" s="98"/>
      <c r="AP801" s="98"/>
      <c r="AQ801" s="98"/>
      <c r="AR801" s="98"/>
    </row>
    <row r="802" ht="19.5" customHeight="1">
      <c r="A802" s="79">
        <v>791.0</v>
      </c>
      <c r="B802" s="80" t="s">
        <v>38</v>
      </c>
      <c r="C802" s="80" t="s">
        <v>5530</v>
      </c>
      <c r="D802" s="80" t="s">
        <v>5531</v>
      </c>
      <c r="E802" s="131" t="s">
        <v>5532</v>
      </c>
      <c r="F802" s="80" t="s">
        <v>81</v>
      </c>
      <c r="G802" s="80" t="s">
        <v>44</v>
      </c>
      <c r="H802" s="80" t="s">
        <v>21</v>
      </c>
      <c r="I802" s="80" t="s">
        <v>5533</v>
      </c>
      <c r="J802" s="80" t="s">
        <v>45</v>
      </c>
      <c r="K802" s="80" t="s">
        <v>5534</v>
      </c>
      <c r="L802" s="92" t="s">
        <v>5535</v>
      </c>
      <c r="M802" s="83">
        <f t="shared" si="1"/>
        <v>120</v>
      </c>
      <c r="N802" s="84">
        <v>120.0</v>
      </c>
      <c r="O802" s="84">
        <v>0.0</v>
      </c>
      <c r="P802" s="84">
        <v>0.0</v>
      </c>
      <c r="Q802" s="94">
        <v>811.0</v>
      </c>
      <c r="R802" s="94">
        <v>810.9</v>
      </c>
      <c r="S802" s="95" t="s">
        <v>5536</v>
      </c>
      <c r="T802" s="94">
        <v>1.0</v>
      </c>
      <c r="U802" s="96">
        <v>34046.0</v>
      </c>
      <c r="V802" s="97" t="s">
        <v>5537</v>
      </c>
      <c r="W802" s="97" t="s">
        <v>5538</v>
      </c>
      <c r="X802" s="79" t="s">
        <v>5539</v>
      </c>
      <c r="Y802" s="98"/>
      <c r="Z802" s="98"/>
      <c r="AA802" s="98"/>
      <c r="AB802" s="98"/>
      <c r="AC802" s="98"/>
      <c r="AD802" s="98"/>
      <c r="AE802" s="98"/>
      <c r="AF802" s="98"/>
      <c r="AG802" s="98"/>
      <c r="AH802" s="98"/>
      <c r="AI802" s="98"/>
      <c r="AJ802" s="98"/>
      <c r="AK802" s="98"/>
      <c r="AL802" s="98"/>
      <c r="AM802" s="98"/>
      <c r="AN802" s="98"/>
      <c r="AO802" s="98"/>
      <c r="AP802" s="98"/>
      <c r="AQ802" s="98"/>
      <c r="AR802" s="98"/>
    </row>
    <row r="803" ht="20.25" customHeight="1">
      <c r="A803" s="79">
        <v>792.0</v>
      </c>
      <c r="B803" s="80" t="s">
        <v>38</v>
      </c>
      <c r="C803" s="80" t="s">
        <v>5530</v>
      </c>
      <c r="D803" s="80" t="s">
        <v>5540</v>
      </c>
      <c r="E803" s="131" t="s">
        <v>5541</v>
      </c>
      <c r="F803" s="80" t="s">
        <v>81</v>
      </c>
      <c r="G803" s="80" t="s">
        <v>42</v>
      </c>
      <c r="H803" s="80" t="s">
        <v>21</v>
      </c>
      <c r="I803" s="80" t="s">
        <v>5533</v>
      </c>
      <c r="J803" s="80" t="s">
        <v>47</v>
      </c>
      <c r="K803" s="80" t="s">
        <v>5542</v>
      </c>
      <c r="L803" s="92" t="s">
        <v>5543</v>
      </c>
      <c r="M803" s="83">
        <f t="shared" si="1"/>
        <v>1523</v>
      </c>
      <c r="N803" s="84">
        <v>1523.0</v>
      </c>
      <c r="O803" s="84"/>
      <c r="P803" s="84"/>
      <c r="Q803" s="94">
        <v>29689.0</v>
      </c>
      <c r="R803" s="94">
        <v>13914.0</v>
      </c>
      <c r="S803" s="95" t="s">
        <v>5544</v>
      </c>
      <c r="T803" s="94">
        <v>1.0</v>
      </c>
      <c r="U803" s="96">
        <v>39576.0</v>
      </c>
      <c r="V803" s="97" t="s">
        <v>5545</v>
      </c>
      <c r="W803" s="97" t="s">
        <v>5546</v>
      </c>
      <c r="X803" s="79" t="s">
        <v>5547</v>
      </c>
      <c r="Y803" s="98"/>
      <c r="Z803" s="98"/>
      <c r="AA803" s="98"/>
      <c r="AB803" s="98"/>
      <c r="AC803" s="98"/>
      <c r="AD803" s="98"/>
      <c r="AE803" s="98"/>
      <c r="AF803" s="98"/>
      <c r="AG803" s="98"/>
      <c r="AH803" s="98"/>
      <c r="AI803" s="98"/>
      <c r="AJ803" s="98"/>
      <c r="AK803" s="98"/>
      <c r="AL803" s="98"/>
      <c r="AM803" s="98"/>
      <c r="AN803" s="98"/>
      <c r="AO803" s="98"/>
      <c r="AP803" s="98"/>
      <c r="AQ803" s="98"/>
      <c r="AR803" s="98"/>
    </row>
    <row r="804" ht="20.25" customHeight="1">
      <c r="A804" s="79">
        <v>793.0</v>
      </c>
      <c r="B804" s="80" t="s">
        <v>38</v>
      </c>
      <c r="C804" s="80" t="s">
        <v>5530</v>
      </c>
      <c r="D804" s="80" t="s">
        <v>2927</v>
      </c>
      <c r="E804" s="131" t="s">
        <v>5548</v>
      </c>
      <c r="F804" s="80" t="s">
        <v>81</v>
      </c>
      <c r="G804" s="80" t="s">
        <v>44</v>
      </c>
      <c r="H804" s="80" t="s">
        <v>21</v>
      </c>
      <c r="I804" s="80" t="s">
        <v>5533</v>
      </c>
      <c r="J804" s="80" t="s">
        <v>45</v>
      </c>
      <c r="K804" s="80" t="s">
        <v>5549</v>
      </c>
      <c r="L804" s="92" t="s">
        <v>5550</v>
      </c>
      <c r="M804" s="83">
        <f t="shared" si="1"/>
        <v>90</v>
      </c>
      <c r="N804" s="84">
        <v>90.0</v>
      </c>
      <c r="O804" s="84"/>
      <c r="P804" s="84"/>
      <c r="Q804" s="94">
        <v>1117.0</v>
      </c>
      <c r="R804" s="94">
        <v>416.0</v>
      </c>
      <c r="S804" s="95" t="s">
        <v>350</v>
      </c>
      <c r="T804" s="94">
        <v>1.0</v>
      </c>
      <c r="U804" s="96">
        <v>36585.0</v>
      </c>
      <c r="V804" s="97" t="s">
        <v>5551</v>
      </c>
      <c r="W804" s="97" t="s">
        <v>5552</v>
      </c>
      <c r="X804" s="79" t="s">
        <v>5553</v>
      </c>
      <c r="Y804" s="98"/>
      <c r="Z804" s="98"/>
      <c r="AA804" s="98"/>
      <c r="AB804" s="98"/>
      <c r="AC804" s="98"/>
      <c r="AD804" s="98"/>
      <c r="AE804" s="98"/>
      <c r="AF804" s="98"/>
      <c r="AG804" s="98"/>
      <c r="AH804" s="98"/>
      <c r="AI804" s="98"/>
      <c r="AJ804" s="98"/>
      <c r="AK804" s="98"/>
      <c r="AL804" s="98"/>
      <c r="AM804" s="98"/>
      <c r="AN804" s="98"/>
      <c r="AO804" s="98"/>
      <c r="AP804" s="98"/>
      <c r="AQ804" s="98"/>
      <c r="AR804" s="98"/>
    </row>
    <row r="805" ht="20.25" customHeight="1">
      <c r="A805" s="79">
        <v>794.0</v>
      </c>
      <c r="B805" s="80" t="s">
        <v>38</v>
      </c>
      <c r="C805" s="80" t="s">
        <v>5530</v>
      </c>
      <c r="D805" s="80" t="s">
        <v>5554</v>
      </c>
      <c r="E805" s="131" t="s">
        <v>5555</v>
      </c>
      <c r="F805" s="80" t="s">
        <v>81</v>
      </c>
      <c r="G805" s="80" t="s">
        <v>48</v>
      </c>
      <c r="H805" s="80" t="s">
        <v>21</v>
      </c>
      <c r="I805" s="80" t="s">
        <v>5533</v>
      </c>
      <c r="J805" s="80" t="s">
        <v>45</v>
      </c>
      <c r="K805" s="80" t="s">
        <v>5542</v>
      </c>
      <c r="L805" s="92" t="s">
        <v>5556</v>
      </c>
      <c r="M805" s="83">
        <f t="shared" si="1"/>
        <v>496</v>
      </c>
      <c r="N805" s="84"/>
      <c r="O805" s="84">
        <v>96.0</v>
      </c>
      <c r="P805" s="84">
        <v>400.0</v>
      </c>
      <c r="Q805" s="94">
        <v>192474.0</v>
      </c>
      <c r="R805" s="94">
        <v>1902.0</v>
      </c>
      <c r="S805" s="95" t="s">
        <v>1650</v>
      </c>
      <c r="T805" s="94">
        <v>1.0</v>
      </c>
      <c r="U805" s="96">
        <v>38930.0</v>
      </c>
      <c r="V805" s="97" t="s">
        <v>5557</v>
      </c>
      <c r="W805" s="97" t="s">
        <v>5558</v>
      </c>
      <c r="X805" s="79" t="s">
        <v>5559</v>
      </c>
      <c r="Y805" s="98"/>
      <c r="Z805" s="98"/>
      <c r="AA805" s="98"/>
      <c r="AB805" s="98"/>
      <c r="AC805" s="98"/>
      <c r="AD805" s="98"/>
      <c r="AE805" s="98"/>
      <c r="AF805" s="98"/>
      <c r="AG805" s="98"/>
      <c r="AH805" s="98"/>
      <c r="AI805" s="98"/>
      <c r="AJ805" s="98"/>
      <c r="AK805" s="98"/>
      <c r="AL805" s="98"/>
      <c r="AM805" s="98"/>
      <c r="AN805" s="98"/>
      <c r="AO805" s="98"/>
      <c r="AP805" s="98"/>
      <c r="AQ805" s="98"/>
      <c r="AR805" s="98"/>
    </row>
    <row r="806" ht="20.25" customHeight="1">
      <c r="A806" s="79">
        <v>795.0</v>
      </c>
      <c r="B806" s="95" t="s">
        <v>38</v>
      </c>
      <c r="C806" s="95" t="s">
        <v>5530</v>
      </c>
      <c r="D806" s="95" t="s">
        <v>5554</v>
      </c>
      <c r="E806" s="127" t="s">
        <v>5560</v>
      </c>
      <c r="F806" s="95" t="s">
        <v>81</v>
      </c>
      <c r="G806" s="80" t="s">
        <v>42</v>
      </c>
      <c r="H806" s="80" t="s">
        <v>21</v>
      </c>
      <c r="I806" s="95" t="s">
        <v>5533</v>
      </c>
      <c r="J806" s="80" t="s">
        <v>45</v>
      </c>
      <c r="K806" s="95" t="s">
        <v>5549</v>
      </c>
      <c r="L806" s="92" t="s">
        <v>5561</v>
      </c>
      <c r="M806" s="83">
        <f t="shared" si="1"/>
        <v>500</v>
      </c>
      <c r="N806" s="84">
        <v>500.0</v>
      </c>
      <c r="O806" s="84"/>
      <c r="P806" s="84"/>
      <c r="Q806" s="94">
        <v>2558.0</v>
      </c>
      <c r="R806" s="94">
        <v>3862.0</v>
      </c>
      <c r="S806" s="95" t="s">
        <v>350</v>
      </c>
      <c r="T806" s="94">
        <v>2.0</v>
      </c>
      <c r="U806" s="96">
        <v>37104.0</v>
      </c>
      <c r="V806" s="97" t="s">
        <v>5562</v>
      </c>
      <c r="W806" s="97" t="s">
        <v>5563</v>
      </c>
      <c r="X806" s="79" t="s">
        <v>5564</v>
      </c>
      <c r="Y806" s="98"/>
      <c r="Z806" s="98"/>
      <c r="AA806" s="98"/>
      <c r="AB806" s="98"/>
      <c r="AC806" s="98"/>
      <c r="AD806" s="98"/>
      <c r="AE806" s="98"/>
      <c r="AF806" s="98"/>
      <c r="AG806" s="98"/>
      <c r="AH806" s="98"/>
      <c r="AI806" s="98"/>
      <c r="AJ806" s="98"/>
      <c r="AK806" s="98"/>
      <c r="AL806" s="98"/>
      <c r="AM806" s="98"/>
      <c r="AN806" s="98"/>
      <c r="AO806" s="98"/>
      <c r="AP806" s="98"/>
      <c r="AQ806" s="98"/>
      <c r="AR806" s="98"/>
    </row>
    <row r="807" ht="20.25" customHeight="1">
      <c r="A807" s="79">
        <v>796.0</v>
      </c>
      <c r="B807" s="95" t="s">
        <v>38</v>
      </c>
      <c r="C807" s="95" t="s">
        <v>5530</v>
      </c>
      <c r="D807" s="95" t="s">
        <v>5565</v>
      </c>
      <c r="E807" s="127" t="s">
        <v>5566</v>
      </c>
      <c r="F807" s="95" t="s">
        <v>81</v>
      </c>
      <c r="G807" s="80" t="s">
        <v>42</v>
      </c>
      <c r="H807" s="80" t="s">
        <v>21</v>
      </c>
      <c r="I807" s="95" t="s">
        <v>5533</v>
      </c>
      <c r="J807" s="80" t="s">
        <v>45</v>
      </c>
      <c r="K807" s="80" t="s">
        <v>5364</v>
      </c>
      <c r="L807" s="92" t="s">
        <v>5567</v>
      </c>
      <c r="M807" s="83">
        <f t="shared" si="1"/>
        <v>500</v>
      </c>
      <c r="N807" s="84">
        <v>500.0</v>
      </c>
      <c r="O807" s="84"/>
      <c r="P807" s="84"/>
      <c r="Q807" s="94">
        <v>3302.5</v>
      </c>
      <c r="R807" s="94">
        <v>4870.98</v>
      </c>
      <c r="S807" s="95" t="s">
        <v>373</v>
      </c>
      <c r="T807" s="94">
        <v>1.0</v>
      </c>
      <c r="U807" s="96">
        <v>41528.0</v>
      </c>
      <c r="V807" s="97" t="s">
        <v>5568</v>
      </c>
      <c r="W807" s="97" t="s">
        <v>5569</v>
      </c>
      <c r="X807" s="79" t="s">
        <v>5570</v>
      </c>
      <c r="Y807" s="98"/>
      <c r="Z807" s="98"/>
      <c r="AA807" s="98"/>
      <c r="AB807" s="98"/>
      <c r="AC807" s="98"/>
      <c r="AD807" s="98"/>
      <c r="AE807" s="98"/>
      <c r="AF807" s="98"/>
      <c r="AG807" s="98"/>
      <c r="AH807" s="98"/>
      <c r="AI807" s="98"/>
      <c r="AJ807" s="98"/>
      <c r="AK807" s="98"/>
      <c r="AL807" s="98"/>
      <c r="AM807" s="98"/>
      <c r="AN807" s="98"/>
      <c r="AO807" s="98"/>
      <c r="AP807" s="98"/>
      <c r="AQ807" s="98"/>
      <c r="AR807" s="98"/>
    </row>
    <row r="808" ht="20.25" customHeight="1">
      <c r="A808" s="79">
        <v>797.0</v>
      </c>
      <c r="B808" s="95" t="s">
        <v>38</v>
      </c>
      <c r="C808" s="95" t="s">
        <v>5530</v>
      </c>
      <c r="D808" s="95" t="s">
        <v>5571</v>
      </c>
      <c r="E808" s="127" t="s">
        <v>5572</v>
      </c>
      <c r="F808" s="95" t="s">
        <v>81</v>
      </c>
      <c r="G808" s="80" t="s">
        <v>42</v>
      </c>
      <c r="H808" s="80" t="s">
        <v>21</v>
      </c>
      <c r="I808" s="95" t="s">
        <v>5533</v>
      </c>
      <c r="J808" s="80" t="s">
        <v>45</v>
      </c>
      <c r="K808" s="80" t="s">
        <v>5573</v>
      </c>
      <c r="L808" s="92" t="s">
        <v>5574</v>
      </c>
      <c r="M808" s="83">
        <f t="shared" si="1"/>
        <v>360</v>
      </c>
      <c r="N808" s="84">
        <v>360.0</v>
      </c>
      <c r="O808" s="84">
        <v>0.0</v>
      </c>
      <c r="P808" s="84">
        <v>0.0</v>
      </c>
      <c r="Q808" s="94">
        <v>1373.0</v>
      </c>
      <c r="R808" s="94">
        <v>2119.15</v>
      </c>
      <c r="S808" s="95" t="s">
        <v>5575</v>
      </c>
      <c r="T808" s="94">
        <v>1.0</v>
      </c>
      <c r="U808" s="96">
        <v>41873.0</v>
      </c>
      <c r="V808" s="97" t="s">
        <v>5576</v>
      </c>
      <c r="W808" s="97" t="s">
        <v>5577</v>
      </c>
      <c r="X808" s="79" t="s">
        <v>5578</v>
      </c>
      <c r="Y808" s="98"/>
      <c r="Z808" s="98"/>
      <c r="AA808" s="98"/>
      <c r="AB808" s="98"/>
      <c r="AC808" s="98"/>
      <c r="AD808" s="98"/>
      <c r="AE808" s="98"/>
      <c r="AF808" s="98"/>
      <c r="AG808" s="98"/>
      <c r="AH808" s="98"/>
      <c r="AI808" s="98"/>
      <c r="AJ808" s="98"/>
      <c r="AK808" s="98"/>
      <c r="AL808" s="98"/>
      <c r="AM808" s="98"/>
      <c r="AN808" s="98"/>
      <c r="AO808" s="98"/>
      <c r="AP808" s="98"/>
      <c r="AQ808" s="98"/>
      <c r="AR808" s="98"/>
    </row>
    <row r="809" ht="20.25" customHeight="1">
      <c r="A809" s="79">
        <v>798.0</v>
      </c>
      <c r="B809" s="95" t="s">
        <v>38</v>
      </c>
      <c r="C809" s="95" t="s">
        <v>5530</v>
      </c>
      <c r="D809" s="95" t="s">
        <v>5579</v>
      </c>
      <c r="E809" s="127" t="s">
        <v>5580</v>
      </c>
      <c r="F809" s="95" t="s">
        <v>81</v>
      </c>
      <c r="G809" s="80" t="s">
        <v>44</v>
      </c>
      <c r="H809" s="80" t="s">
        <v>21</v>
      </c>
      <c r="I809" s="95" t="s">
        <v>5533</v>
      </c>
      <c r="J809" s="80" t="s">
        <v>45</v>
      </c>
      <c r="K809" s="95" t="s">
        <v>5364</v>
      </c>
      <c r="L809" s="92" t="s">
        <v>5581</v>
      </c>
      <c r="M809" s="83">
        <f t="shared" si="1"/>
        <v>120</v>
      </c>
      <c r="N809" s="84">
        <v>120.0</v>
      </c>
      <c r="O809" s="84">
        <v>0.0</v>
      </c>
      <c r="P809" s="84">
        <v>0.0</v>
      </c>
      <c r="Q809" s="94">
        <v>1167.0</v>
      </c>
      <c r="R809" s="94">
        <v>716.0</v>
      </c>
      <c r="S809" s="95" t="s">
        <v>697</v>
      </c>
      <c r="T809" s="94">
        <v>2.0</v>
      </c>
      <c r="U809" s="96">
        <v>37680.0</v>
      </c>
      <c r="V809" s="97" t="s">
        <v>5582</v>
      </c>
      <c r="W809" s="97" t="s">
        <v>5583</v>
      </c>
      <c r="X809" s="79" t="s">
        <v>5584</v>
      </c>
      <c r="Y809" s="98"/>
      <c r="Z809" s="98"/>
      <c r="AA809" s="98"/>
      <c r="AB809" s="98"/>
      <c r="AC809" s="98"/>
      <c r="AD809" s="98"/>
      <c r="AE809" s="98"/>
      <c r="AF809" s="98"/>
      <c r="AG809" s="98"/>
      <c r="AH809" s="98"/>
      <c r="AI809" s="98"/>
      <c r="AJ809" s="98"/>
      <c r="AK809" s="98"/>
      <c r="AL809" s="98"/>
      <c r="AM809" s="98"/>
      <c r="AN809" s="98"/>
      <c r="AO809" s="98"/>
      <c r="AP809" s="98"/>
      <c r="AQ809" s="98"/>
      <c r="AR809" s="98"/>
    </row>
    <row r="810" ht="20.25" customHeight="1">
      <c r="A810" s="79">
        <v>799.0</v>
      </c>
      <c r="B810" s="80" t="s">
        <v>38</v>
      </c>
      <c r="C810" s="80" t="s">
        <v>5530</v>
      </c>
      <c r="D810" s="80" t="s">
        <v>5585</v>
      </c>
      <c r="E810" s="131" t="s">
        <v>5586</v>
      </c>
      <c r="F810" s="80" t="s">
        <v>81</v>
      </c>
      <c r="G810" s="80" t="s">
        <v>42</v>
      </c>
      <c r="H810" s="80" t="s">
        <v>21</v>
      </c>
      <c r="I810" s="80" t="s">
        <v>5533</v>
      </c>
      <c r="J810" s="80" t="s">
        <v>47</v>
      </c>
      <c r="K810" s="80" t="s">
        <v>5542</v>
      </c>
      <c r="L810" s="92" t="s">
        <v>5587</v>
      </c>
      <c r="M810" s="83">
        <f t="shared" si="1"/>
        <v>1472</v>
      </c>
      <c r="N810" s="84">
        <v>1336.0</v>
      </c>
      <c r="O810" s="84">
        <v>136.0</v>
      </c>
      <c r="P810" s="84">
        <v>0.0</v>
      </c>
      <c r="Q810" s="94">
        <v>31780.0</v>
      </c>
      <c r="R810" s="94">
        <v>11994.0</v>
      </c>
      <c r="S810" s="95" t="s">
        <v>85</v>
      </c>
      <c r="T810" s="94">
        <v>2.0</v>
      </c>
      <c r="U810" s="96">
        <v>35532.0</v>
      </c>
      <c r="V810" s="97" t="s">
        <v>5588</v>
      </c>
      <c r="W810" s="97" t="s">
        <v>5589</v>
      </c>
      <c r="X810" s="79" t="s">
        <v>5590</v>
      </c>
      <c r="Y810" s="98"/>
      <c r="Z810" s="98"/>
      <c r="AA810" s="98"/>
      <c r="AB810" s="98"/>
      <c r="AC810" s="98"/>
      <c r="AD810" s="98"/>
      <c r="AE810" s="98"/>
      <c r="AF810" s="98"/>
      <c r="AG810" s="98"/>
      <c r="AH810" s="98"/>
      <c r="AI810" s="98"/>
      <c r="AJ810" s="98"/>
      <c r="AK810" s="98"/>
      <c r="AL810" s="98"/>
      <c r="AM810" s="98"/>
      <c r="AN810" s="98"/>
      <c r="AO810" s="98"/>
      <c r="AP810" s="98"/>
      <c r="AQ810" s="98"/>
      <c r="AR810" s="98"/>
    </row>
    <row r="811" ht="20.25" customHeight="1">
      <c r="A811" s="79">
        <v>800.0</v>
      </c>
      <c r="B811" s="79" t="s">
        <v>38</v>
      </c>
      <c r="C811" s="95" t="s">
        <v>5591</v>
      </c>
      <c r="D811" s="95" t="s">
        <v>5592</v>
      </c>
      <c r="E811" s="127" t="s">
        <v>5593</v>
      </c>
      <c r="F811" s="95" t="s">
        <v>81</v>
      </c>
      <c r="G811" s="80" t="s">
        <v>46</v>
      </c>
      <c r="H811" s="80" t="s">
        <v>21</v>
      </c>
      <c r="I811" s="95" t="s">
        <v>5594</v>
      </c>
      <c r="J811" s="80" t="s">
        <v>45</v>
      </c>
      <c r="K811" s="95" t="s">
        <v>5595</v>
      </c>
      <c r="L811" s="92" t="s">
        <v>5596</v>
      </c>
      <c r="M811" s="83">
        <f t="shared" si="1"/>
        <v>430</v>
      </c>
      <c r="N811" s="84">
        <v>0.0</v>
      </c>
      <c r="O811" s="84">
        <v>430.0</v>
      </c>
      <c r="P811" s="84">
        <v>0.0</v>
      </c>
      <c r="Q811" s="94">
        <v>19969.0</v>
      </c>
      <c r="R811" s="94">
        <v>6100.0</v>
      </c>
      <c r="S811" s="95" t="s">
        <v>103</v>
      </c>
      <c r="T811" s="94">
        <v>2.0</v>
      </c>
      <c r="U811" s="96">
        <v>37998.0</v>
      </c>
      <c r="V811" s="97" t="s">
        <v>5597</v>
      </c>
      <c r="W811" s="97" t="s">
        <v>5598</v>
      </c>
      <c r="X811" s="79" t="s">
        <v>5599</v>
      </c>
      <c r="Y811" s="98"/>
      <c r="Z811" s="98"/>
      <c r="AA811" s="98"/>
      <c r="AB811" s="98"/>
      <c r="AC811" s="98"/>
      <c r="AD811" s="98"/>
      <c r="AE811" s="98"/>
      <c r="AF811" s="98"/>
      <c r="AG811" s="98"/>
      <c r="AH811" s="98"/>
      <c r="AI811" s="98"/>
      <c r="AJ811" s="98"/>
      <c r="AK811" s="98"/>
      <c r="AL811" s="98"/>
      <c r="AM811" s="98"/>
      <c r="AN811" s="98"/>
      <c r="AO811" s="98"/>
      <c r="AP811" s="98"/>
      <c r="AQ811" s="98"/>
      <c r="AR811" s="98"/>
    </row>
    <row r="812" ht="20.25" customHeight="1">
      <c r="A812" s="79">
        <v>801.0</v>
      </c>
      <c r="B812" s="91" t="s">
        <v>38</v>
      </c>
      <c r="C812" s="91" t="s">
        <v>5591</v>
      </c>
      <c r="D812" s="91" t="s">
        <v>5600</v>
      </c>
      <c r="E812" s="82" t="s">
        <v>5601</v>
      </c>
      <c r="F812" s="91" t="s">
        <v>22</v>
      </c>
      <c r="G812" s="80" t="s">
        <v>12</v>
      </c>
      <c r="H812" s="80" t="s">
        <v>22</v>
      </c>
      <c r="I812" s="91" t="s">
        <v>5602</v>
      </c>
      <c r="J812" s="80" t="s">
        <v>43</v>
      </c>
      <c r="K812" s="91" t="s">
        <v>5603</v>
      </c>
      <c r="L812" s="92" t="s">
        <v>5604</v>
      </c>
      <c r="M812" s="83">
        <f t="shared" si="1"/>
        <v>462</v>
      </c>
      <c r="N812" s="84">
        <v>0.0</v>
      </c>
      <c r="O812" s="84">
        <v>462.0</v>
      </c>
      <c r="P812" s="84">
        <v>0.0</v>
      </c>
      <c r="Q812" s="94">
        <v>18022.0</v>
      </c>
      <c r="R812" s="94">
        <v>12087.0</v>
      </c>
      <c r="S812" s="95" t="s">
        <v>5605</v>
      </c>
      <c r="T812" s="94">
        <v>2.0</v>
      </c>
      <c r="U812" s="96">
        <v>42278.0</v>
      </c>
      <c r="V812" s="97" t="s">
        <v>5606</v>
      </c>
      <c r="W812" s="97" t="s">
        <v>5607</v>
      </c>
      <c r="X812" s="79" t="s">
        <v>5608</v>
      </c>
      <c r="Y812" s="98"/>
      <c r="Z812" s="98"/>
      <c r="AA812" s="98"/>
      <c r="AB812" s="98"/>
      <c r="AC812" s="98"/>
      <c r="AD812" s="98"/>
      <c r="AE812" s="98"/>
      <c r="AF812" s="98"/>
      <c r="AG812" s="98"/>
      <c r="AH812" s="98"/>
      <c r="AI812" s="98"/>
      <c r="AJ812" s="98"/>
      <c r="AK812" s="98"/>
      <c r="AL812" s="98"/>
      <c r="AM812" s="98"/>
      <c r="AN812" s="98"/>
      <c r="AO812" s="98"/>
      <c r="AP812" s="98"/>
      <c r="AQ812" s="98"/>
      <c r="AR812" s="98"/>
    </row>
    <row r="813" ht="20.25" customHeight="1">
      <c r="A813" s="79">
        <v>802.0</v>
      </c>
      <c r="B813" s="91" t="s">
        <v>38</v>
      </c>
      <c r="C813" s="91" t="s">
        <v>5591</v>
      </c>
      <c r="D813" s="91" t="s">
        <v>5609</v>
      </c>
      <c r="E813" s="82" t="s">
        <v>5610</v>
      </c>
      <c r="F813" s="91" t="s">
        <v>22</v>
      </c>
      <c r="G813" s="80" t="s">
        <v>12</v>
      </c>
      <c r="H813" s="80" t="s">
        <v>22</v>
      </c>
      <c r="I813" s="91" t="s">
        <v>5611</v>
      </c>
      <c r="J813" s="80" t="s">
        <v>43</v>
      </c>
      <c r="K813" s="91" t="s">
        <v>5610</v>
      </c>
      <c r="L813" s="92" t="s">
        <v>5612</v>
      </c>
      <c r="M813" s="83">
        <f t="shared" si="1"/>
        <v>73</v>
      </c>
      <c r="N813" s="84">
        <v>0.0</v>
      </c>
      <c r="O813" s="84">
        <v>73.0</v>
      </c>
      <c r="P813" s="84">
        <v>0.0</v>
      </c>
      <c r="Q813" s="94">
        <v>964.0</v>
      </c>
      <c r="R813" s="94">
        <v>1067.66</v>
      </c>
      <c r="S813" s="95" t="s">
        <v>217</v>
      </c>
      <c r="T813" s="94">
        <v>1.0</v>
      </c>
      <c r="U813" s="96">
        <v>43306.0</v>
      </c>
      <c r="V813" s="97" t="s">
        <v>5613</v>
      </c>
      <c r="W813" s="97" t="s">
        <v>40</v>
      </c>
      <c r="X813" s="79" t="s">
        <v>5614</v>
      </c>
      <c r="Y813" s="98"/>
      <c r="Z813" s="98"/>
      <c r="AA813" s="98"/>
      <c r="AB813" s="98"/>
      <c r="AC813" s="98"/>
      <c r="AD813" s="98"/>
      <c r="AE813" s="98"/>
      <c r="AF813" s="98"/>
      <c r="AG813" s="98"/>
      <c r="AH813" s="98"/>
      <c r="AI813" s="98"/>
      <c r="AJ813" s="98"/>
      <c r="AK813" s="98"/>
      <c r="AL813" s="98"/>
      <c r="AM813" s="98"/>
      <c r="AN813" s="98"/>
      <c r="AO813" s="98"/>
      <c r="AP813" s="98"/>
      <c r="AQ813" s="98"/>
      <c r="AR813" s="98"/>
    </row>
    <row r="814" ht="20.25" customHeight="1">
      <c r="A814" s="79">
        <v>803.0</v>
      </c>
      <c r="B814" s="91" t="s">
        <v>38</v>
      </c>
      <c r="C814" s="91" t="s">
        <v>5591</v>
      </c>
      <c r="D814" s="91" t="s">
        <v>5609</v>
      </c>
      <c r="E814" s="82" t="s">
        <v>5615</v>
      </c>
      <c r="F814" s="91" t="s">
        <v>22</v>
      </c>
      <c r="G814" s="80" t="s">
        <v>12</v>
      </c>
      <c r="H814" s="80" t="s">
        <v>22</v>
      </c>
      <c r="I814" s="91" t="s">
        <v>5616</v>
      </c>
      <c r="J814" s="80" t="s">
        <v>43</v>
      </c>
      <c r="K814" s="91" t="s">
        <v>5615</v>
      </c>
      <c r="L814" s="92" t="s">
        <v>5617</v>
      </c>
      <c r="M814" s="83">
        <f t="shared" si="1"/>
        <v>73</v>
      </c>
      <c r="N814" s="84">
        <v>0.0</v>
      </c>
      <c r="O814" s="84">
        <v>73.0</v>
      </c>
      <c r="P814" s="84">
        <v>0.0</v>
      </c>
      <c r="Q814" s="94">
        <v>964.0</v>
      </c>
      <c r="R814" s="94">
        <v>1006.52</v>
      </c>
      <c r="S814" s="95" t="s">
        <v>217</v>
      </c>
      <c r="T814" s="94">
        <v>1.0</v>
      </c>
      <c r="U814" s="96">
        <v>43306.0</v>
      </c>
      <c r="V814" s="97" t="s">
        <v>5618</v>
      </c>
      <c r="W814" s="97" t="s">
        <v>5619</v>
      </c>
      <c r="X814" s="79" t="s">
        <v>5620</v>
      </c>
      <c r="Y814" s="98"/>
      <c r="Z814" s="98"/>
      <c r="AA814" s="98"/>
      <c r="AB814" s="98"/>
      <c r="AC814" s="98"/>
      <c r="AD814" s="98"/>
      <c r="AE814" s="98"/>
      <c r="AF814" s="98"/>
      <c r="AG814" s="98"/>
      <c r="AH814" s="98"/>
      <c r="AI814" s="98"/>
      <c r="AJ814" s="98"/>
      <c r="AK814" s="98"/>
      <c r="AL814" s="98"/>
      <c r="AM814" s="98"/>
      <c r="AN814" s="98"/>
      <c r="AO814" s="98"/>
      <c r="AP814" s="98"/>
      <c r="AQ814" s="98"/>
      <c r="AR814" s="98"/>
    </row>
    <row r="815" ht="20.25" customHeight="1">
      <c r="A815" s="79">
        <v>804.0</v>
      </c>
      <c r="B815" s="79" t="s">
        <v>38</v>
      </c>
      <c r="C815" s="79" t="s">
        <v>5591</v>
      </c>
      <c r="D815" s="79" t="s">
        <v>5621</v>
      </c>
      <c r="E815" s="93" t="s">
        <v>5622</v>
      </c>
      <c r="F815" s="79" t="s">
        <v>81</v>
      </c>
      <c r="G815" s="80" t="s">
        <v>44</v>
      </c>
      <c r="H815" s="80" t="s">
        <v>21</v>
      </c>
      <c r="I815" s="79" t="s">
        <v>5594</v>
      </c>
      <c r="J815" s="80" t="s">
        <v>45</v>
      </c>
      <c r="K815" s="95" t="s">
        <v>5595</v>
      </c>
      <c r="L815" s="102" t="s">
        <v>5623</v>
      </c>
      <c r="M815" s="83">
        <f t="shared" si="1"/>
        <v>260</v>
      </c>
      <c r="N815" s="84">
        <v>260.0</v>
      </c>
      <c r="O815" s="84">
        <v>0.0</v>
      </c>
      <c r="P815" s="84">
        <v>0.0</v>
      </c>
      <c r="Q815" s="94">
        <v>5484.0</v>
      </c>
      <c r="R815" s="94">
        <v>5394.0</v>
      </c>
      <c r="S815" s="95" t="s">
        <v>777</v>
      </c>
      <c r="T815" s="94">
        <v>1.0</v>
      </c>
      <c r="U815" s="96">
        <v>44497.0</v>
      </c>
      <c r="V815" s="97" t="s">
        <v>5624</v>
      </c>
      <c r="W815" s="97" t="s">
        <v>5625</v>
      </c>
      <c r="X815" s="79" t="s">
        <v>5626</v>
      </c>
      <c r="Y815" s="98"/>
      <c r="Z815" s="98"/>
      <c r="AA815" s="98"/>
      <c r="AB815" s="98"/>
      <c r="AC815" s="98"/>
      <c r="AD815" s="98"/>
      <c r="AE815" s="98"/>
      <c r="AF815" s="98"/>
      <c r="AG815" s="98"/>
      <c r="AH815" s="98"/>
      <c r="AI815" s="98"/>
      <c r="AJ815" s="98"/>
      <c r="AK815" s="98"/>
      <c r="AL815" s="98"/>
      <c r="AM815" s="98"/>
      <c r="AN815" s="98"/>
      <c r="AO815" s="98"/>
      <c r="AP815" s="98"/>
      <c r="AQ815" s="98"/>
      <c r="AR815" s="98"/>
    </row>
    <row r="816" ht="20.25" customHeight="1">
      <c r="A816" s="79">
        <v>805.0</v>
      </c>
      <c r="B816" s="79" t="s">
        <v>38</v>
      </c>
      <c r="C816" s="79" t="s">
        <v>5627</v>
      </c>
      <c r="D816" s="79" t="s">
        <v>5628</v>
      </c>
      <c r="E816" s="93" t="s">
        <v>5629</v>
      </c>
      <c r="F816" s="79" t="s">
        <v>22</v>
      </c>
      <c r="G816" s="80" t="s">
        <v>46</v>
      </c>
      <c r="H816" s="80" t="s">
        <v>22</v>
      </c>
      <c r="I816" s="79" t="s">
        <v>5630</v>
      </c>
      <c r="J816" s="80" t="s">
        <v>43</v>
      </c>
      <c r="K816" s="79" t="s">
        <v>5630</v>
      </c>
      <c r="L816" s="92" t="s">
        <v>5631</v>
      </c>
      <c r="M816" s="83">
        <f t="shared" si="1"/>
        <v>457</v>
      </c>
      <c r="N816" s="84"/>
      <c r="O816" s="84">
        <v>457.0</v>
      </c>
      <c r="P816" s="84"/>
      <c r="Q816" s="94">
        <v>8479.0</v>
      </c>
      <c r="R816" s="94">
        <v>2342.0</v>
      </c>
      <c r="S816" s="95" t="s">
        <v>3091</v>
      </c>
      <c r="T816" s="94">
        <v>8.0</v>
      </c>
      <c r="U816" s="96">
        <v>36757.0</v>
      </c>
      <c r="V816" s="97" t="s">
        <v>5632</v>
      </c>
      <c r="W816" s="97" t="s">
        <v>5633</v>
      </c>
      <c r="X816" s="79" t="s">
        <v>5634</v>
      </c>
      <c r="Y816" s="98"/>
      <c r="Z816" s="98"/>
      <c r="AA816" s="98"/>
      <c r="AB816" s="98"/>
      <c r="AC816" s="98"/>
      <c r="AD816" s="98"/>
      <c r="AE816" s="98"/>
      <c r="AF816" s="98"/>
      <c r="AG816" s="98"/>
      <c r="AH816" s="98"/>
      <c r="AI816" s="98"/>
      <c r="AJ816" s="98"/>
      <c r="AK816" s="98"/>
      <c r="AL816" s="98"/>
      <c r="AM816" s="98"/>
      <c r="AN816" s="98"/>
      <c r="AO816" s="98"/>
      <c r="AP816" s="98"/>
      <c r="AQ816" s="98"/>
      <c r="AR816" s="98"/>
    </row>
    <row r="817" ht="20.25" customHeight="1">
      <c r="A817" s="79">
        <v>806.0</v>
      </c>
      <c r="B817" s="79" t="s">
        <v>38</v>
      </c>
      <c r="C817" s="79" t="s">
        <v>5627</v>
      </c>
      <c r="D817" s="79" t="s">
        <v>5635</v>
      </c>
      <c r="E817" s="93" t="s">
        <v>5636</v>
      </c>
      <c r="F817" s="79" t="s">
        <v>687</v>
      </c>
      <c r="G817" s="80" t="s">
        <v>44</v>
      </c>
      <c r="H817" s="80" t="s">
        <v>21</v>
      </c>
      <c r="I817" s="79" t="s">
        <v>5637</v>
      </c>
      <c r="J817" s="80" t="s">
        <v>43</v>
      </c>
      <c r="K817" s="79" t="s">
        <v>5637</v>
      </c>
      <c r="L817" s="92" t="s">
        <v>5638</v>
      </c>
      <c r="M817" s="83">
        <f t="shared" si="1"/>
        <v>250</v>
      </c>
      <c r="N817" s="84">
        <v>250.0</v>
      </c>
      <c r="O817" s="84"/>
      <c r="P817" s="84"/>
      <c r="Q817" s="94">
        <v>4180.0</v>
      </c>
      <c r="R817" s="94">
        <v>1857.0</v>
      </c>
      <c r="S817" s="95" t="s">
        <v>217</v>
      </c>
      <c r="T817" s="94">
        <v>1.0</v>
      </c>
      <c r="U817" s="96" t="s">
        <v>5639</v>
      </c>
      <c r="V817" s="97" t="s">
        <v>5640</v>
      </c>
      <c r="W817" s="97" t="s">
        <v>5641</v>
      </c>
      <c r="X817" s="79" t="s">
        <v>5642</v>
      </c>
      <c r="Y817" s="98"/>
      <c r="Z817" s="98"/>
      <c r="AA817" s="98"/>
      <c r="AB817" s="98"/>
      <c r="AC817" s="98"/>
      <c r="AD817" s="98"/>
      <c r="AE817" s="98"/>
      <c r="AF817" s="98"/>
      <c r="AG817" s="98"/>
      <c r="AH817" s="98"/>
      <c r="AI817" s="98"/>
      <c r="AJ817" s="98"/>
      <c r="AK817" s="98"/>
      <c r="AL817" s="98"/>
      <c r="AM817" s="98"/>
      <c r="AN817" s="98"/>
      <c r="AO817" s="98"/>
      <c r="AP817" s="98"/>
      <c r="AQ817" s="98"/>
      <c r="AR817" s="98"/>
    </row>
    <row r="818" ht="20.25" customHeight="1">
      <c r="A818" s="79">
        <v>807.0</v>
      </c>
      <c r="B818" s="79" t="s">
        <v>38</v>
      </c>
      <c r="C818" s="79" t="s">
        <v>5627</v>
      </c>
      <c r="D818" s="79" t="s">
        <v>5643</v>
      </c>
      <c r="E818" s="93" t="s">
        <v>5644</v>
      </c>
      <c r="F818" s="79" t="s">
        <v>22</v>
      </c>
      <c r="G818" s="80" t="s">
        <v>46</v>
      </c>
      <c r="H818" s="80" t="s">
        <v>22</v>
      </c>
      <c r="I818" s="79" t="s">
        <v>5645</v>
      </c>
      <c r="J818" s="80" t="s">
        <v>43</v>
      </c>
      <c r="K818" s="79" t="s">
        <v>5645</v>
      </c>
      <c r="L818" s="92" t="s">
        <v>5646</v>
      </c>
      <c r="M818" s="83">
        <f t="shared" si="1"/>
        <v>383</v>
      </c>
      <c r="N818" s="84"/>
      <c r="O818" s="84">
        <v>383.0</v>
      </c>
      <c r="P818" s="84"/>
      <c r="Q818" s="94">
        <v>7008.0</v>
      </c>
      <c r="R818" s="94">
        <v>2232.0</v>
      </c>
      <c r="S818" s="95" t="s">
        <v>5507</v>
      </c>
      <c r="T818" s="94">
        <v>4.0</v>
      </c>
      <c r="U818" s="96">
        <v>38084.0</v>
      </c>
      <c r="V818" s="97" t="s">
        <v>5647</v>
      </c>
      <c r="W818" s="97" t="s">
        <v>5648</v>
      </c>
      <c r="X818" s="79" t="s">
        <v>5649</v>
      </c>
      <c r="Y818" s="104"/>
      <c r="Z818" s="104"/>
      <c r="AA818" s="104"/>
      <c r="AB818" s="104"/>
      <c r="AC818" s="104"/>
      <c r="AD818" s="104"/>
      <c r="AE818" s="104"/>
      <c r="AF818" s="104"/>
      <c r="AG818" s="104"/>
      <c r="AH818" s="104"/>
      <c r="AI818" s="104"/>
      <c r="AJ818" s="104"/>
      <c r="AK818" s="104"/>
      <c r="AL818" s="104"/>
      <c r="AM818" s="104"/>
      <c r="AN818" s="104"/>
      <c r="AO818" s="104"/>
      <c r="AP818" s="104"/>
      <c r="AQ818" s="104"/>
      <c r="AR818" s="104"/>
    </row>
    <row r="819" ht="20.25" customHeight="1">
      <c r="A819" s="79">
        <v>808.0</v>
      </c>
      <c r="B819" s="79" t="s">
        <v>38</v>
      </c>
      <c r="C819" s="79" t="s">
        <v>5627</v>
      </c>
      <c r="D819" s="79" t="s">
        <v>5650</v>
      </c>
      <c r="E819" s="93" t="s">
        <v>5651</v>
      </c>
      <c r="F819" s="79" t="s">
        <v>687</v>
      </c>
      <c r="G819" s="80" t="s">
        <v>42</v>
      </c>
      <c r="H819" s="80" t="s">
        <v>21</v>
      </c>
      <c r="I819" s="79" t="s">
        <v>5637</v>
      </c>
      <c r="J819" s="80" t="s">
        <v>43</v>
      </c>
      <c r="K819" s="79" t="s">
        <v>5627</v>
      </c>
      <c r="L819" s="92" t="s">
        <v>5652</v>
      </c>
      <c r="M819" s="83">
        <f t="shared" si="1"/>
        <v>250</v>
      </c>
      <c r="N819" s="84">
        <v>250.0</v>
      </c>
      <c r="O819" s="84"/>
      <c r="P819" s="84"/>
      <c r="Q819" s="94">
        <v>4180.0</v>
      </c>
      <c r="R819" s="94">
        <v>1857.0</v>
      </c>
      <c r="S819" s="95" t="s">
        <v>217</v>
      </c>
      <c r="T819" s="94">
        <v>1.0</v>
      </c>
      <c r="U819" s="96">
        <v>40646.0</v>
      </c>
      <c r="V819" s="97" t="s">
        <v>5640</v>
      </c>
      <c r="W819" s="97" t="s">
        <v>5641</v>
      </c>
      <c r="X819" s="79" t="s">
        <v>5642</v>
      </c>
      <c r="Y819" s="104"/>
      <c r="Z819" s="104"/>
      <c r="AA819" s="104"/>
      <c r="AB819" s="104"/>
      <c r="AC819" s="104"/>
      <c r="AD819" s="104"/>
      <c r="AE819" s="104"/>
      <c r="AF819" s="104"/>
      <c r="AG819" s="104"/>
      <c r="AH819" s="104"/>
      <c r="AI819" s="104"/>
      <c r="AJ819" s="104"/>
      <c r="AK819" s="104"/>
      <c r="AL819" s="104"/>
      <c r="AM819" s="104"/>
      <c r="AN819" s="104"/>
      <c r="AO819" s="104"/>
      <c r="AP819" s="104"/>
      <c r="AQ819" s="104"/>
      <c r="AR819" s="104"/>
    </row>
    <row r="820" ht="18.75" customHeight="1">
      <c r="A820" s="79">
        <v>809.0</v>
      </c>
      <c r="B820" s="79" t="s">
        <v>38</v>
      </c>
      <c r="C820" s="79" t="s">
        <v>5627</v>
      </c>
      <c r="D820" s="79" t="s">
        <v>5653</v>
      </c>
      <c r="E820" s="93" t="s">
        <v>5654</v>
      </c>
      <c r="F820" s="79" t="s">
        <v>22</v>
      </c>
      <c r="G820" s="80" t="s">
        <v>48</v>
      </c>
      <c r="H820" s="80" t="s">
        <v>22</v>
      </c>
      <c r="I820" s="79" t="s">
        <v>5655</v>
      </c>
      <c r="J820" s="80" t="s">
        <v>45</v>
      </c>
      <c r="K820" s="79" t="s">
        <v>5655</v>
      </c>
      <c r="L820" s="92" t="s">
        <v>5656</v>
      </c>
      <c r="M820" s="83">
        <f t="shared" si="1"/>
        <v>180</v>
      </c>
      <c r="N820" s="84"/>
      <c r="O820" s="84">
        <v>80.0</v>
      </c>
      <c r="P820" s="84">
        <v>100.0</v>
      </c>
      <c r="Q820" s="94">
        <v>11874.0</v>
      </c>
      <c r="R820" s="94">
        <v>1419.0</v>
      </c>
      <c r="S820" s="95" t="s">
        <v>350</v>
      </c>
      <c r="T820" s="94">
        <v>1.0</v>
      </c>
      <c r="U820" s="96">
        <v>45012.0</v>
      </c>
      <c r="V820" s="97" t="s">
        <v>5657</v>
      </c>
      <c r="W820" s="97" t="s">
        <v>5658</v>
      </c>
      <c r="X820" s="79" t="s">
        <v>5659</v>
      </c>
      <c r="Y820" s="138"/>
      <c r="Z820" s="138"/>
      <c r="AA820" s="138"/>
      <c r="AB820" s="138"/>
      <c r="AC820" s="138"/>
      <c r="AD820" s="138"/>
      <c r="AE820" s="138"/>
      <c r="AF820" s="138"/>
      <c r="AG820" s="138"/>
      <c r="AH820" s="138"/>
      <c r="AI820" s="138"/>
      <c r="AJ820" s="138"/>
      <c r="AK820" s="138"/>
      <c r="AL820" s="138"/>
      <c r="AM820" s="138"/>
      <c r="AN820" s="138"/>
      <c r="AO820" s="138"/>
      <c r="AP820" s="138"/>
      <c r="AQ820" s="138"/>
      <c r="AR820" s="138"/>
    </row>
    <row r="821" ht="24.0" customHeight="1">
      <c r="A821" s="79">
        <v>810.0</v>
      </c>
      <c r="B821" s="80" t="s">
        <v>38</v>
      </c>
      <c r="C821" s="80" t="s">
        <v>5660</v>
      </c>
      <c r="D821" s="80" t="s">
        <v>5661</v>
      </c>
      <c r="E821" s="131" t="s">
        <v>5662</v>
      </c>
      <c r="F821" s="80" t="s">
        <v>687</v>
      </c>
      <c r="G821" s="80" t="s">
        <v>42</v>
      </c>
      <c r="H821" s="80" t="s">
        <v>21</v>
      </c>
      <c r="I821" s="80" t="s">
        <v>5663</v>
      </c>
      <c r="J821" s="80" t="s">
        <v>45</v>
      </c>
      <c r="K821" s="80" t="s">
        <v>5364</v>
      </c>
      <c r="L821" s="92" t="s">
        <v>5664</v>
      </c>
      <c r="M821" s="83">
        <f t="shared" si="1"/>
        <v>300</v>
      </c>
      <c r="N821" s="84">
        <v>300.0</v>
      </c>
      <c r="O821" s="84">
        <v>0.0</v>
      </c>
      <c r="P821" s="84">
        <v>0.0</v>
      </c>
      <c r="Q821" s="94">
        <v>20895.0</v>
      </c>
      <c r="R821" s="94">
        <v>3116.0</v>
      </c>
      <c r="S821" s="95" t="s">
        <v>194</v>
      </c>
      <c r="T821" s="94">
        <v>1.0</v>
      </c>
      <c r="U821" s="96">
        <v>42377.0</v>
      </c>
      <c r="V821" s="97" t="s">
        <v>5665</v>
      </c>
      <c r="W821" s="97" t="s">
        <v>5666</v>
      </c>
      <c r="X821" s="79" t="s">
        <v>5667</v>
      </c>
      <c r="Y821" s="104"/>
      <c r="Z821" s="104"/>
      <c r="AA821" s="104"/>
      <c r="AB821" s="104"/>
      <c r="AC821" s="104"/>
      <c r="AD821" s="104"/>
      <c r="AE821" s="104"/>
      <c r="AF821" s="104"/>
      <c r="AG821" s="104"/>
      <c r="AH821" s="104"/>
      <c r="AI821" s="104"/>
      <c r="AJ821" s="104"/>
      <c r="AK821" s="104"/>
      <c r="AL821" s="104"/>
      <c r="AM821" s="104"/>
      <c r="AN821" s="104"/>
      <c r="AO821" s="104"/>
      <c r="AP821" s="104"/>
      <c r="AQ821" s="104"/>
      <c r="AR821" s="104"/>
    </row>
    <row r="822" ht="24.0" customHeight="1">
      <c r="A822" s="79">
        <v>811.0</v>
      </c>
      <c r="B822" s="79" t="s">
        <v>38</v>
      </c>
      <c r="C822" s="79" t="s">
        <v>5660</v>
      </c>
      <c r="D822" s="79" t="s">
        <v>5668</v>
      </c>
      <c r="E822" s="93" t="s">
        <v>5669</v>
      </c>
      <c r="F822" s="79" t="s">
        <v>22</v>
      </c>
      <c r="G822" s="80" t="s">
        <v>46</v>
      </c>
      <c r="H822" s="80" t="s">
        <v>22</v>
      </c>
      <c r="I822" s="79" t="s">
        <v>5670</v>
      </c>
      <c r="J822" s="80" t="s">
        <v>43</v>
      </c>
      <c r="K822" s="79" t="s">
        <v>5670</v>
      </c>
      <c r="L822" s="92" t="s">
        <v>5671</v>
      </c>
      <c r="M822" s="83">
        <f t="shared" si="1"/>
        <v>480</v>
      </c>
      <c r="N822" s="84"/>
      <c r="O822" s="84">
        <v>180.0</v>
      </c>
      <c r="P822" s="84">
        <v>300.0</v>
      </c>
      <c r="Q822" s="94">
        <v>15145.0</v>
      </c>
      <c r="R822" s="94">
        <v>1313.0</v>
      </c>
      <c r="S822" s="95" t="s">
        <v>704</v>
      </c>
      <c r="T822" s="94">
        <v>4.0</v>
      </c>
      <c r="U822" s="96">
        <v>38195.0</v>
      </c>
      <c r="V822" s="97" t="s">
        <v>5672</v>
      </c>
      <c r="W822" s="97"/>
      <c r="X822" s="79" t="s">
        <v>5673</v>
      </c>
      <c r="Y822" s="98"/>
      <c r="Z822" s="98"/>
      <c r="AA822" s="98"/>
      <c r="AB822" s="98"/>
      <c r="AC822" s="98"/>
      <c r="AD822" s="98"/>
      <c r="AE822" s="98"/>
      <c r="AF822" s="98"/>
      <c r="AG822" s="98"/>
      <c r="AH822" s="98"/>
      <c r="AI822" s="98"/>
      <c r="AJ822" s="98"/>
      <c r="AK822" s="98"/>
      <c r="AL822" s="98"/>
      <c r="AM822" s="98"/>
      <c r="AN822" s="98"/>
      <c r="AO822" s="98"/>
      <c r="AP822" s="98"/>
      <c r="AQ822" s="98"/>
      <c r="AR822" s="98"/>
    </row>
    <row r="823" ht="24.0" customHeight="1">
      <c r="A823" s="79">
        <v>812.0</v>
      </c>
      <c r="B823" s="79" t="s">
        <v>38</v>
      </c>
      <c r="C823" s="79" t="s">
        <v>5660</v>
      </c>
      <c r="D823" s="79" t="s">
        <v>5674</v>
      </c>
      <c r="E823" s="93" t="s">
        <v>5675</v>
      </c>
      <c r="F823" s="79" t="s">
        <v>687</v>
      </c>
      <c r="G823" s="80" t="s">
        <v>44</v>
      </c>
      <c r="H823" s="80" t="s">
        <v>21</v>
      </c>
      <c r="I823" s="79" t="s">
        <v>5663</v>
      </c>
      <c r="J823" s="80" t="s">
        <v>45</v>
      </c>
      <c r="K823" s="79" t="s">
        <v>5364</v>
      </c>
      <c r="L823" s="92" t="s">
        <v>5676</v>
      </c>
      <c r="M823" s="83">
        <f t="shared" si="1"/>
        <v>120</v>
      </c>
      <c r="N823" s="84">
        <v>120.0</v>
      </c>
      <c r="O823" s="84">
        <v>0.0</v>
      </c>
      <c r="P823" s="84">
        <v>0.0</v>
      </c>
      <c r="Q823" s="94">
        <v>1021.0</v>
      </c>
      <c r="R823" s="94">
        <v>1276.5</v>
      </c>
      <c r="S823" s="95" t="s">
        <v>314</v>
      </c>
      <c r="T823" s="94">
        <v>1.0</v>
      </c>
      <c r="U823" s="96">
        <v>44197.0</v>
      </c>
      <c r="V823" s="97" t="s">
        <v>5677</v>
      </c>
      <c r="W823" s="97" t="s">
        <v>5678</v>
      </c>
      <c r="X823" s="79" t="s">
        <v>5679</v>
      </c>
      <c r="Y823" s="98"/>
      <c r="Z823" s="98"/>
      <c r="AA823" s="98"/>
      <c r="AB823" s="98"/>
      <c r="AC823" s="98"/>
      <c r="AD823" s="98"/>
      <c r="AE823" s="98"/>
      <c r="AF823" s="98"/>
      <c r="AG823" s="98"/>
      <c r="AH823" s="98"/>
      <c r="AI823" s="98"/>
      <c r="AJ823" s="98"/>
      <c r="AK823" s="98"/>
      <c r="AL823" s="98"/>
      <c r="AM823" s="98"/>
      <c r="AN823" s="98"/>
      <c r="AO823" s="98"/>
      <c r="AP823" s="98"/>
      <c r="AQ823" s="98"/>
      <c r="AR823" s="98"/>
    </row>
    <row r="824" ht="24.0" customHeight="1">
      <c r="A824" s="79">
        <v>813.0</v>
      </c>
      <c r="B824" s="79" t="s">
        <v>38</v>
      </c>
      <c r="C824" s="79" t="s">
        <v>5680</v>
      </c>
      <c r="D824" s="79" t="s">
        <v>5681</v>
      </c>
      <c r="E824" s="93" t="s">
        <v>5682</v>
      </c>
      <c r="F824" s="79" t="s">
        <v>22</v>
      </c>
      <c r="G824" s="80" t="s">
        <v>46</v>
      </c>
      <c r="H824" s="80" t="s">
        <v>22</v>
      </c>
      <c r="I824" s="79" t="s">
        <v>5683</v>
      </c>
      <c r="J824" s="80" t="s">
        <v>43</v>
      </c>
      <c r="K824" s="79" t="s">
        <v>5683</v>
      </c>
      <c r="L824" s="92" t="s">
        <v>5684</v>
      </c>
      <c r="M824" s="83">
        <f t="shared" si="1"/>
        <v>619</v>
      </c>
      <c r="N824" s="84"/>
      <c r="O824" s="84">
        <v>499.0</v>
      </c>
      <c r="P824" s="84">
        <v>120.0</v>
      </c>
      <c r="Q824" s="94">
        <v>17140.0</v>
      </c>
      <c r="R824" s="94">
        <v>3011.0</v>
      </c>
      <c r="S824" s="95" t="s">
        <v>5685</v>
      </c>
      <c r="T824" s="94">
        <v>9.0</v>
      </c>
      <c r="U824" s="96">
        <v>34800.0</v>
      </c>
      <c r="V824" s="97" t="s">
        <v>5686</v>
      </c>
      <c r="W824" s="97" t="s">
        <v>5687</v>
      </c>
      <c r="X824" s="79" t="s">
        <v>5688</v>
      </c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  <c r="AM824" s="57"/>
      <c r="AN824" s="57"/>
      <c r="AO824" s="57"/>
      <c r="AP824" s="57"/>
      <c r="AQ824" s="57"/>
      <c r="AR824" s="57"/>
    </row>
    <row r="825" ht="24.0" customHeight="1">
      <c r="A825" s="79">
        <v>814.0</v>
      </c>
      <c r="B825" s="79" t="s">
        <v>38</v>
      </c>
      <c r="C825" s="79" t="s">
        <v>5689</v>
      </c>
      <c r="D825" s="79" t="s">
        <v>5690</v>
      </c>
      <c r="E825" s="93" t="s">
        <v>5691</v>
      </c>
      <c r="F825" s="79" t="s">
        <v>22</v>
      </c>
      <c r="G825" s="80" t="s">
        <v>46</v>
      </c>
      <c r="H825" s="80" t="s">
        <v>22</v>
      </c>
      <c r="I825" s="79" t="s">
        <v>5692</v>
      </c>
      <c r="J825" s="80" t="s">
        <v>43</v>
      </c>
      <c r="K825" s="79" t="s">
        <v>5692</v>
      </c>
      <c r="L825" s="92" t="s">
        <v>5693</v>
      </c>
      <c r="M825" s="83">
        <f t="shared" si="1"/>
        <v>300</v>
      </c>
      <c r="N825" s="84"/>
      <c r="O825" s="84">
        <v>300.0</v>
      </c>
      <c r="P825" s="84"/>
      <c r="Q825" s="94">
        <v>19271.0</v>
      </c>
      <c r="R825" s="94">
        <v>2796.0</v>
      </c>
      <c r="S825" s="95" t="s">
        <v>350</v>
      </c>
      <c r="T825" s="94">
        <v>18.0</v>
      </c>
      <c r="U825" s="96">
        <v>38887.0</v>
      </c>
      <c r="V825" s="97" t="s">
        <v>5694</v>
      </c>
      <c r="W825" s="97" t="s">
        <v>5695</v>
      </c>
      <c r="X825" s="79" t="s">
        <v>5696</v>
      </c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  <c r="AK825" s="59"/>
      <c r="AL825" s="59"/>
      <c r="AM825" s="59"/>
      <c r="AN825" s="59"/>
      <c r="AO825" s="59"/>
      <c r="AP825" s="59"/>
      <c r="AQ825" s="59"/>
      <c r="AR825" s="59"/>
    </row>
    <row r="826" ht="24.0" customHeight="1">
      <c r="A826" s="79">
        <v>815.0</v>
      </c>
      <c r="B826" s="79" t="s">
        <v>38</v>
      </c>
      <c r="C826" s="79" t="s">
        <v>5689</v>
      </c>
      <c r="D826" s="79" t="s">
        <v>5697</v>
      </c>
      <c r="E826" s="93" t="s">
        <v>5698</v>
      </c>
      <c r="F826" s="79" t="s">
        <v>22</v>
      </c>
      <c r="G826" s="80" t="s">
        <v>46</v>
      </c>
      <c r="H826" s="80" t="s">
        <v>22</v>
      </c>
      <c r="I826" s="79" t="s">
        <v>5699</v>
      </c>
      <c r="J826" s="80" t="s">
        <v>43</v>
      </c>
      <c r="K826" s="79"/>
      <c r="L826" s="92" t="s">
        <v>5700</v>
      </c>
      <c r="M826" s="83">
        <f t="shared" si="1"/>
        <v>580</v>
      </c>
      <c r="N826" s="84"/>
      <c r="O826" s="84">
        <v>372.0</v>
      </c>
      <c r="P826" s="84">
        <v>208.0</v>
      </c>
      <c r="Q826" s="94">
        <v>24217.0</v>
      </c>
      <c r="R826" s="94">
        <v>2179.0</v>
      </c>
      <c r="S826" s="95" t="s">
        <v>314</v>
      </c>
      <c r="T826" s="94">
        <v>2.0</v>
      </c>
      <c r="U826" s="96">
        <v>36335.0</v>
      </c>
      <c r="V826" s="97"/>
      <c r="W826" s="97"/>
      <c r="X826" s="79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  <c r="AM826" s="57"/>
      <c r="AN826" s="57"/>
      <c r="AO826" s="57"/>
      <c r="AP826" s="57"/>
      <c r="AQ826" s="57"/>
      <c r="AR826" s="57"/>
    </row>
    <row r="827" ht="24.0" customHeight="1">
      <c r="A827" s="79">
        <v>816.0</v>
      </c>
      <c r="B827" s="79" t="s">
        <v>38</v>
      </c>
      <c r="C827" s="79" t="s">
        <v>5689</v>
      </c>
      <c r="D827" s="79" t="s">
        <v>5701</v>
      </c>
      <c r="E827" s="93" t="s">
        <v>5702</v>
      </c>
      <c r="F827" s="79" t="s">
        <v>687</v>
      </c>
      <c r="G827" s="80" t="s">
        <v>44</v>
      </c>
      <c r="H827" s="80" t="s">
        <v>21</v>
      </c>
      <c r="I827" s="79" t="s">
        <v>5703</v>
      </c>
      <c r="J827" s="80" t="s">
        <v>43</v>
      </c>
      <c r="K827" s="79" t="s">
        <v>5703</v>
      </c>
      <c r="L827" s="92" t="s">
        <v>5704</v>
      </c>
      <c r="M827" s="83">
        <f t="shared" si="1"/>
        <v>60</v>
      </c>
      <c r="N827" s="84">
        <v>60.0</v>
      </c>
      <c r="O827" s="84"/>
      <c r="P827" s="84"/>
      <c r="Q827" s="94">
        <v>694.0</v>
      </c>
      <c r="R827" s="94">
        <v>1490.0</v>
      </c>
      <c r="S827" s="95" t="s">
        <v>314</v>
      </c>
      <c r="T827" s="94">
        <v>1.0</v>
      </c>
      <c r="U827" s="96">
        <v>36354.0</v>
      </c>
      <c r="V827" s="97" t="s">
        <v>5705</v>
      </c>
      <c r="W827" s="97" t="s">
        <v>5706</v>
      </c>
      <c r="X827" s="79" t="s">
        <v>5707</v>
      </c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  <c r="AM827" s="57"/>
      <c r="AN827" s="57"/>
      <c r="AO827" s="57"/>
      <c r="AP827" s="57"/>
      <c r="AQ827" s="57"/>
      <c r="AR827" s="57"/>
    </row>
    <row r="828" ht="24.0" customHeight="1">
      <c r="A828" s="79">
        <v>817.0</v>
      </c>
      <c r="B828" s="91" t="s">
        <v>39</v>
      </c>
      <c r="C828" s="91" t="s">
        <v>5708</v>
      </c>
      <c r="D828" s="91" t="s">
        <v>5709</v>
      </c>
      <c r="E828" s="92" t="s">
        <v>5710</v>
      </c>
      <c r="F828" s="91" t="s">
        <v>1807</v>
      </c>
      <c r="G828" s="80" t="s">
        <v>42</v>
      </c>
      <c r="H828" s="80" t="s">
        <v>21</v>
      </c>
      <c r="I828" s="91" t="s">
        <v>5711</v>
      </c>
      <c r="J828" s="80" t="s">
        <v>43</v>
      </c>
      <c r="K828" s="91" t="s">
        <v>5708</v>
      </c>
      <c r="L828" s="92" t="s">
        <v>5712</v>
      </c>
      <c r="M828" s="83">
        <f t="shared" si="1"/>
        <v>367</v>
      </c>
      <c r="N828" s="84">
        <v>367.0</v>
      </c>
      <c r="O828" s="84"/>
      <c r="P828" s="84"/>
      <c r="Q828" s="94">
        <v>7860.0</v>
      </c>
      <c r="R828" s="94">
        <v>4220.0</v>
      </c>
      <c r="S828" s="95" t="s">
        <v>291</v>
      </c>
      <c r="T828" s="94">
        <v>1.0</v>
      </c>
      <c r="U828" s="96">
        <v>35850.0</v>
      </c>
      <c r="V828" s="97" t="s">
        <v>5713</v>
      </c>
      <c r="W828" s="97" t="s">
        <v>5714</v>
      </c>
      <c r="X828" s="79" t="s">
        <v>5715</v>
      </c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  <c r="AM828" s="57"/>
      <c r="AN828" s="57"/>
      <c r="AO828" s="57"/>
      <c r="AP828" s="57"/>
      <c r="AQ828" s="57"/>
      <c r="AR828" s="57"/>
    </row>
    <row r="829" ht="20.25" customHeight="1">
      <c r="A829" s="79">
        <v>818.0</v>
      </c>
      <c r="B829" s="91" t="s">
        <v>39</v>
      </c>
      <c r="C829" s="91" t="s">
        <v>5708</v>
      </c>
      <c r="D829" s="91" t="s">
        <v>5716</v>
      </c>
      <c r="E829" s="92" t="s">
        <v>5717</v>
      </c>
      <c r="F829" s="91" t="s">
        <v>1807</v>
      </c>
      <c r="G829" s="80" t="s">
        <v>42</v>
      </c>
      <c r="H829" s="80" t="s">
        <v>21</v>
      </c>
      <c r="I829" s="91" t="s">
        <v>5711</v>
      </c>
      <c r="J829" s="80" t="s">
        <v>43</v>
      </c>
      <c r="K829" s="91" t="s">
        <v>5708</v>
      </c>
      <c r="L829" s="92" t="s">
        <v>5718</v>
      </c>
      <c r="M829" s="83">
        <f t="shared" si="1"/>
        <v>250</v>
      </c>
      <c r="N829" s="84">
        <v>250.0</v>
      </c>
      <c r="O829" s="84"/>
      <c r="P829" s="84"/>
      <c r="Q829" s="94">
        <v>4313.0</v>
      </c>
      <c r="R829" s="94">
        <v>3132.0</v>
      </c>
      <c r="S829" s="95" t="s">
        <v>103</v>
      </c>
      <c r="T829" s="94">
        <v>1.0</v>
      </c>
      <c r="U829" s="96">
        <v>35903.0</v>
      </c>
      <c r="V829" s="97" t="s">
        <v>5719</v>
      </c>
      <c r="W829" s="97" t="s">
        <v>5720</v>
      </c>
      <c r="X829" s="79" t="s">
        <v>5721</v>
      </c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  <c r="AK829" s="59"/>
      <c r="AL829" s="59"/>
      <c r="AM829" s="59"/>
      <c r="AN829" s="59"/>
      <c r="AO829" s="59"/>
      <c r="AP829" s="59"/>
      <c r="AQ829" s="59"/>
      <c r="AR829" s="59"/>
    </row>
    <row r="830" ht="20.25" customHeight="1">
      <c r="A830" s="79">
        <v>819.0</v>
      </c>
      <c r="B830" s="91" t="s">
        <v>39</v>
      </c>
      <c r="C830" s="91" t="s">
        <v>5708</v>
      </c>
      <c r="D830" s="91" t="s">
        <v>5722</v>
      </c>
      <c r="E830" s="92" t="s">
        <v>5723</v>
      </c>
      <c r="F830" s="91" t="s">
        <v>1807</v>
      </c>
      <c r="G830" s="80" t="s">
        <v>44</v>
      </c>
      <c r="H830" s="80" t="s">
        <v>21</v>
      </c>
      <c r="I830" s="80" t="s">
        <v>5724</v>
      </c>
      <c r="J830" s="80" t="s">
        <v>43</v>
      </c>
      <c r="K830" s="91" t="s">
        <v>5708</v>
      </c>
      <c r="L830" s="92" t="s">
        <v>5725</v>
      </c>
      <c r="M830" s="83">
        <f t="shared" si="1"/>
        <v>100</v>
      </c>
      <c r="N830" s="84">
        <v>100.0</v>
      </c>
      <c r="O830" s="84"/>
      <c r="P830" s="84"/>
      <c r="Q830" s="94">
        <v>1022.0</v>
      </c>
      <c r="R830" s="94">
        <v>664.0</v>
      </c>
      <c r="S830" s="95" t="s">
        <v>350</v>
      </c>
      <c r="T830" s="94">
        <v>1.0</v>
      </c>
      <c r="U830" s="96">
        <v>38689.0</v>
      </c>
      <c r="V830" s="97" t="s">
        <v>5726</v>
      </c>
      <c r="W830" s="97" t="s">
        <v>5727</v>
      </c>
      <c r="X830" s="79" t="s">
        <v>5728</v>
      </c>
      <c r="Y830" s="98"/>
      <c r="Z830" s="98"/>
      <c r="AA830" s="98"/>
      <c r="AB830" s="98"/>
      <c r="AC830" s="98"/>
      <c r="AD830" s="98"/>
      <c r="AE830" s="98"/>
      <c r="AF830" s="98"/>
      <c r="AG830" s="98"/>
      <c r="AH830" s="98"/>
      <c r="AI830" s="98"/>
      <c r="AJ830" s="98"/>
      <c r="AK830" s="98"/>
      <c r="AL830" s="98"/>
      <c r="AM830" s="98"/>
      <c r="AN830" s="98"/>
      <c r="AO830" s="98"/>
      <c r="AP830" s="98"/>
      <c r="AQ830" s="98"/>
      <c r="AR830" s="98"/>
    </row>
    <row r="831" ht="20.25" customHeight="1">
      <c r="A831" s="79">
        <v>820.0</v>
      </c>
      <c r="B831" s="91" t="s">
        <v>39</v>
      </c>
      <c r="C831" s="91" t="s">
        <v>5708</v>
      </c>
      <c r="D831" s="91" t="s">
        <v>5729</v>
      </c>
      <c r="E831" s="92" t="s">
        <v>5730</v>
      </c>
      <c r="F831" s="91" t="s">
        <v>1807</v>
      </c>
      <c r="G831" s="80" t="s">
        <v>44</v>
      </c>
      <c r="H831" s="80" t="s">
        <v>21</v>
      </c>
      <c r="I831" s="80" t="s">
        <v>5731</v>
      </c>
      <c r="J831" s="80" t="s">
        <v>43</v>
      </c>
      <c r="K831" s="80" t="s">
        <v>5708</v>
      </c>
      <c r="L831" s="92" t="s">
        <v>5732</v>
      </c>
      <c r="M831" s="83">
        <f t="shared" si="1"/>
        <v>100</v>
      </c>
      <c r="N831" s="84">
        <v>100.0</v>
      </c>
      <c r="O831" s="84"/>
      <c r="P831" s="84"/>
      <c r="Q831" s="94">
        <v>1283.0</v>
      </c>
      <c r="R831" s="94">
        <v>813.0</v>
      </c>
      <c r="S831" s="95" t="s">
        <v>217</v>
      </c>
      <c r="T831" s="94">
        <v>1.0</v>
      </c>
      <c r="U831" s="96">
        <v>37996.0</v>
      </c>
      <c r="V831" s="97" t="s">
        <v>5733</v>
      </c>
      <c r="W831" s="97" t="s">
        <v>5734</v>
      </c>
      <c r="X831" s="79" t="s">
        <v>5735</v>
      </c>
      <c r="Y831" s="98"/>
      <c r="Z831" s="98"/>
      <c r="AA831" s="98"/>
      <c r="AB831" s="98"/>
      <c r="AC831" s="98"/>
      <c r="AD831" s="98"/>
      <c r="AE831" s="98"/>
      <c r="AF831" s="98"/>
      <c r="AG831" s="98"/>
      <c r="AH831" s="98"/>
      <c r="AI831" s="98"/>
      <c r="AJ831" s="98"/>
      <c r="AK831" s="98"/>
      <c r="AL831" s="98"/>
      <c r="AM831" s="98"/>
      <c r="AN831" s="98"/>
      <c r="AO831" s="98"/>
      <c r="AP831" s="98"/>
      <c r="AQ831" s="98"/>
      <c r="AR831" s="98"/>
    </row>
    <row r="832" ht="20.25" customHeight="1">
      <c r="A832" s="79">
        <v>821.0</v>
      </c>
      <c r="B832" s="91" t="s">
        <v>39</v>
      </c>
      <c r="C832" s="91" t="s">
        <v>5708</v>
      </c>
      <c r="D832" s="91" t="s">
        <v>5736</v>
      </c>
      <c r="E832" s="92" t="s">
        <v>5737</v>
      </c>
      <c r="F832" s="91" t="s">
        <v>1807</v>
      </c>
      <c r="G832" s="80" t="s">
        <v>44</v>
      </c>
      <c r="H832" s="80" t="s">
        <v>21</v>
      </c>
      <c r="I832" s="80" t="s">
        <v>5738</v>
      </c>
      <c r="J832" s="80" t="s">
        <v>43</v>
      </c>
      <c r="K832" s="80" t="s">
        <v>5708</v>
      </c>
      <c r="L832" s="92" t="s">
        <v>5739</v>
      </c>
      <c r="M832" s="83">
        <f t="shared" si="1"/>
        <v>80</v>
      </c>
      <c r="N832" s="84">
        <v>80.0</v>
      </c>
      <c r="O832" s="84"/>
      <c r="P832" s="84"/>
      <c r="Q832" s="94">
        <v>1723.0</v>
      </c>
      <c r="R832" s="94">
        <v>314.0</v>
      </c>
      <c r="S832" s="95" t="s">
        <v>350</v>
      </c>
      <c r="T832" s="94">
        <v>2.0</v>
      </c>
      <c r="U832" s="96">
        <v>36202.0</v>
      </c>
      <c r="V832" s="97" t="s">
        <v>5740</v>
      </c>
      <c r="W832" s="97" t="s">
        <v>5741</v>
      </c>
      <c r="X832" s="79" t="s">
        <v>5742</v>
      </c>
      <c r="Y832" s="98"/>
      <c r="Z832" s="98"/>
      <c r="AA832" s="98"/>
      <c r="AB832" s="98"/>
      <c r="AC832" s="98"/>
      <c r="AD832" s="98"/>
      <c r="AE832" s="98"/>
      <c r="AF832" s="98"/>
      <c r="AG832" s="98"/>
      <c r="AH832" s="98"/>
      <c r="AI832" s="98"/>
      <c r="AJ832" s="98"/>
      <c r="AK832" s="98"/>
      <c r="AL832" s="98"/>
      <c r="AM832" s="98"/>
      <c r="AN832" s="98"/>
      <c r="AO832" s="98"/>
      <c r="AP832" s="98"/>
      <c r="AQ832" s="98"/>
      <c r="AR832" s="98"/>
    </row>
    <row r="833" ht="20.25" customHeight="1">
      <c r="A833" s="79">
        <v>822.0</v>
      </c>
      <c r="B833" s="91" t="s">
        <v>39</v>
      </c>
      <c r="C833" s="91" t="s">
        <v>5708</v>
      </c>
      <c r="D833" s="91" t="s">
        <v>5743</v>
      </c>
      <c r="E833" s="92" t="s">
        <v>5744</v>
      </c>
      <c r="F833" s="91" t="s">
        <v>1807</v>
      </c>
      <c r="G833" s="80" t="s">
        <v>48</v>
      </c>
      <c r="H833" s="80" t="s">
        <v>21</v>
      </c>
      <c r="I833" s="91" t="s">
        <v>5711</v>
      </c>
      <c r="J833" s="80" t="s">
        <v>43</v>
      </c>
      <c r="K833" s="91" t="s">
        <v>5708</v>
      </c>
      <c r="L833" s="92" t="s">
        <v>5745</v>
      </c>
      <c r="M833" s="83">
        <f t="shared" si="1"/>
        <v>580</v>
      </c>
      <c r="N833" s="84"/>
      <c r="O833" s="84"/>
      <c r="P833" s="84">
        <v>580.0</v>
      </c>
      <c r="Q833" s="94">
        <v>161688.0</v>
      </c>
      <c r="R833" s="94">
        <v>1178.9</v>
      </c>
      <c r="S833" s="95" t="s">
        <v>704</v>
      </c>
      <c r="T833" s="94">
        <v>6.0</v>
      </c>
      <c r="U833" s="96">
        <v>37744.0</v>
      </c>
      <c r="V833" s="97" t="s">
        <v>5746</v>
      </c>
      <c r="W833" s="97" t="s">
        <v>5747</v>
      </c>
      <c r="X833" s="79" t="s">
        <v>5748</v>
      </c>
      <c r="Y833" s="98"/>
      <c r="Z833" s="98"/>
      <c r="AA833" s="98"/>
      <c r="AB833" s="98"/>
      <c r="AC833" s="98"/>
      <c r="AD833" s="98"/>
      <c r="AE833" s="98"/>
      <c r="AF833" s="98"/>
      <c r="AG833" s="98"/>
      <c r="AH833" s="98"/>
      <c r="AI833" s="98"/>
      <c r="AJ833" s="98"/>
      <c r="AK833" s="98"/>
      <c r="AL833" s="98"/>
      <c r="AM833" s="98"/>
      <c r="AN833" s="98"/>
      <c r="AO833" s="98"/>
      <c r="AP833" s="98"/>
      <c r="AQ833" s="98"/>
      <c r="AR833" s="98"/>
    </row>
    <row r="834" ht="20.25" customHeight="1">
      <c r="A834" s="79">
        <v>823.0</v>
      </c>
      <c r="B834" s="91" t="s">
        <v>39</v>
      </c>
      <c r="C834" s="91" t="s">
        <v>5708</v>
      </c>
      <c r="D834" s="91" t="s">
        <v>5749</v>
      </c>
      <c r="E834" s="92" t="s">
        <v>5750</v>
      </c>
      <c r="F834" s="91" t="s">
        <v>22</v>
      </c>
      <c r="G834" s="80" t="s">
        <v>12</v>
      </c>
      <c r="H834" s="80" t="s">
        <v>22</v>
      </c>
      <c r="I834" s="91" t="s">
        <v>5751</v>
      </c>
      <c r="J834" s="80" t="s">
        <v>43</v>
      </c>
      <c r="K834" s="91" t="s">
        <v>5752</v>
      </c>
      <c r="L834" s="92" t="s">
        <v>5753</v>
      </c>
      <c r="M834" s="83">
        <f t="shared" si="1"/>
        <v>40</v>
      </c>
      <c r="N834" s="84"/>
      <c r="O834" s="84">
        <v>40.0</v>
      </c>
      <c r="P834" s="84"/>
      <c r="Q834" s="94">
        <v>3792.0</v>
      </c>
      <c r="R834" s="94">
        <v>1065.0</v>
      </c>
      <c r="S834" s="95" t="s">
        <v>350</v>
      </c>
      <c r="T834" s="94">
        <v>7.0</v>
      </c>
      <c r="U834" s="96">
        <v>40659.0</v>
      </c>
      <c r="V834" s="97" t="s">
        <v>5754</v>
      </c>
      <c r="W834" s="97" t="s">
        <v>5755</v>
      </c>
      <c r="X834" s="79" t="s">
        <v>5756</v>
      </c>
      <c r="Y834" s="98"/>
      <c r="Z834" s="98"/>
      <c r="AA834" s="98"/>
      <c r="AB834" s="98"/>
      <c r="AC834" s="98"/>
      <c r="AD834" s="98"/>
      <c r="AE834" s="98"/>
      <c r="AF834" s="98"/>
      <c r="AG834" s="98"/>
      <c r="AH834" s="98"/>
      <c r="AI834" s="98"/>
      <c r="AJ834" s="98"/>
      <c r="AK834" s="98"/>
      <c r="AL834" s="98"/>
      <c r="AM834" s="98"/>
      <c r="AN834" s="98"/>
      <c r="AO834" s="98"/>
      <c r="AP834" s="98"/>
      <c r="AQ834" s="98"/>
      <c r="AR834" s="98"/>
    </row>
    <row r="835" ht="20.25" customHeight="1">
      <c r="A835" s="79">
        <v>824.0</v>
      </c>
      <c r="B835" s="91" t="s">
        <v>39</v>
      </c>
      <c r="C835" s="91" t="s">
        <v>5708</v>
      </c>
      <c r="D835" s="91" t="s">
        <v>5757</v>
      </c>
      <c r="E835" s="92" t="s">
        <v>5758</v>
      </c>
      <c r="F835" s="91" t="s">
        <v>22</v>
      </c>
      <c r="G835" s="80" t="s">
        <v>12</v>
      </c>
      <c r="H835" s="80" t="s">
        <v>22</v>
      </c>
      <c r="I835" s="91" t="s">
        <v>5759</v>
      </c>
      <c r="J835" s="80" t="s">
        <v>43</v>
      </c>
      <c r="K835" s="91" t="s">
        <v>5758</v>
      </c>
      <c r="L835" s="92" t="s">
        <v>5760</v>
      </c>
      <c r="M835" s="83">
        <f t="shared" si="1"/>
        <v>366</v>
      </c>
      <c r="N835" s="84"/>
      <c r="O835" s="84">
        <v>366.0</v>
      </c>
      <c r="P835" s="84"/>
      <c r="Q835" s="94">
        <v>3134.0</v>
      </c>
      <c r="R835" s="94">
        <v>2465.0</v>
      </c>
      <c r="S835" s="95" t="s">
        <v>350</v>
      </c>
      <c r="T835" s="94">
        <v>2.0</v>
      </c>
      <c r="U835" s="96">
        <v>41429.0</v>
      </c>
      <c r="V835" s="97" t="s">
        <v>5761</v>
      </c>
      <c r="W835" s="97" t="s">
        <v>5762</v>
      </c>
      <c r="X835" s="79" t="s">
        <v>5763</v>
      </c>
      <c r="Y835" s="98"/>
      <c r="Z835" s="98"/>
      <c r="AA835" s="98"/>
      <c r="AB835" s="98"/>
      <c r="AC835" s="98"/>
      <c r="AD835" s="98"/>
      <c r="AE835" s="98"/>
      <c r="AF835" s="98"/>
      <c r="AG835" s="98"/>
      <c r="AH835" s="98"/>
      <c r="AI835" s="98"/>
      <c r="AJ835" s="98"/>
      <c r="AK835" s="98"/>
      <c r="AL835" s="98"/>
      <c r="AM835" s="98"/>
      <c r="AN835" s="98"/>
      <c r="AO835" s="98"/>
      <c r="AP835" s="98"/>
      <c r="AQ835" s="98"/>
      <c r="AR835" s="98"/>
    </row>
    <row r="836" ht="20.25" customHeight="1">
      <c r="A836" s="79">
        <v>825.0</v>
      </c>
      <c r="B836" s="91" t="s">
        <v>39</v>
      </c>
      <c r="C836" s="91" t="s">
        <v>5708</v>
      </c>
      <c r="D836" s="91" t="s">
        <v>5764</v>
      </c>
      <c r="E836" s="92" t="s">
        <v>5765</v>
      </c>
      <c r="F836" s="91" t="s">
        <v>22</v>
      </c>
      <c r="G836" s="80" t="s">
        <v>12</v>
      </c>
      <c r="H836" s="80" t="s">
        <v>22</v>
      </c>
      <c r="I836" s="91" t="s">
        <v>5766</v>
      </c>
      <c r="J836" s="80" t="s">
        <v>43</v>
      </c>
      <c r="K836" s="91" t="s">
        <v>5765</v>
      </c>
      <c r="L836" s="92" t="s">
        <v>5767</v>
      </c>
      <c r="M836" s="83">
        <f t="shared" si="1"/>
        <v>96</v>
      </c>
      <c r="N836" s="84"/>
      <c r="O836" s="84">
        <v>96.0</v>
      </c>
      <c r="P836" s="84"/>
      <c r="Q836" s="94">
        <v>1868.0</v>
      </c>
      <c r="R836" s="94">
        <v>2746.0</v>
      </c>
      <c r="S836" s="95" t="s">
        <v>350</v>
      </c>
      <c r="T836" s="94">
        <v>2.0</v>
      </c>
      <c r="U836" s="96">
        <v>39364.0</v>
      </c>
      <c r="V836" s="97" t="s">
        <v>5768</v>
      </c>
      <c r="W836" s="97" t="s">
        <v>5769</v>
      </c>
      <c r="X836" s="79"/>
      <c r="Y836" s="98"/>
      <c r="Z836" s="98"/>
      <c r="AA836" s="98"/>
      <c r="AB836" s="98"/>
      <c r="AC836" s="98"/>
      <c r="AD836" s="98"/>
      <c r="AE836" s="98"/>
      <c r="AF836" s="98"/>
      <c r="AG836" s="98"/>
      <c r="AH836" s="98"/>
      <c r="AI836" s="98"/>
      <c r="AJ836" s="98"/>
      <c r="AK836" s="98"/>
      <c r="AL836" s="98"/>
      <c r="AM836" s="98"/>
      <c r="AN836" s="98"/>
      <c r="AO836" s="98"/>
      <c r="AP836" s="98"/>
      <c r="AQ836" s="98"/>
      <c r="AR836" s="98"/>
    </row>
    <row r="837" ht="20.25" customHeight="1">
      <c r="A837" s="79">
        <v>826.0</v>
      </c>
      <c r="B837" s="91" t="s">
        <v>39</v>
      </c>
      <c r="C837" s="91" t="s">
        <v>5708</v>
      </c>
      <c r="D837" s="91" t="s">
        <v>5729</v>
      </c>
      <c r="E837" s="92" t="s">
        <v>5770</v>
      </c>
      <c r="F837" s="91" t="s">
        <v>22</v>
      </c>
      <c r="G837" s="80" t="s">
        <v>12</v>
      </c>
      <c r="H837" s="80" t="s">
        <v>22</v>
      </c>
      <c r="I837" s="91" t="s">
        <v>5771</v>
      </c>
      <c r="J837" s="80" t="s">
        <v>43</v>
      </c>
      <c r="K837" s="91" t="s">
        <v>5770</v>
      </c>
      <c r="L837" s="92" t="s">
        <v>5772</v>
      </c>
      <c r="M837" s="83">
        <f t="shared" si="1"/>
        <v>254</v>
      </c>
      <c r="N837" s="84"/>
      <c r="O837" s="84">
        <v>254.0</v>
      </c>
      <c r="P837" s="84"/>
      <c r="Q837" s="94">
        <v>9502.0</v>
      </c>
      <c r="R837" s="94">
        <v>4196.0</v>
      </c>
      <c r="S837" s="95" t="s">
        <v>2792</v>
      </c>
      <c r="T837" s="94">
        <v>5.0</v>
      </c>
      <c r="U837" s="96">
        <v>39930.0</v>
      </c>
      <c r="V837" s="97" t="s">
        <v>5773</v>
      </c>
      <c r="W837" s="97" t="s">
        <v>5774</v>
      </c>
      <c r="X837" s="79" t="s">
        <v>5775</v>
      </c>
      <c r="Y837" s="98"/>
      <c r="Z837" s="98"/>
      <c r="AA837" s="98"/>
      <c r="AB837" s="98"/>
      <c r="AC837" s="98"/>
      <c r="AD837" s="98"/>
      <c r="AE837" s="98"/>
      <c r="AF837" s="98"/>
      <c r="AG837" s="98"/>
      <c r="AH837" s="98"/>
      <c r="AI837" s="98"/>
      <c r="AJ837" s="98"/>
      <c r="AK837" s="98"/>
      <c r="AL837" s="98"/>
      <c r="AM837" s="98"/>
      <c r="AN837" s="98"/>
      <c r="AO837" s="98"/>
      <c r="AP837" s="98"/>
      <c r="AQ837" s="98"/>
      <c r="AR837" s="98"/>
    </row>
    <row r="838" ht="20.25" customHeight="1">
      <c r="A838" s="79">
        <v>827.0</v>
      </c>
      <c r="B838" s="91" t="s">
        <v>39</v>
      </c>
      <c r="C838" s="91" t="s">
        <v>5708</v>
      </c>
      <c r="D838" s="91" t="s">
        <v>5776</v>
      </c>
      <c r="E838" s="92" t="s">
        <v>5777</v>
      </c>
      <c r="F838" s="91" t="s">
        <v>91</v>
      </c>
      <c r="G838" s="80" t="s">
        <v>12</v>
      </c>
      <c r="H838" s="80" t="s">
        <v>21</v>
      </c>
      <c r="I838" s="91" t="s">
        <v>579</v>
      </c>
      <c r="J838" s="80" t="s">
        <v>47</v>
      </c>
      <c r="K838" s="91" t="s">
        <v>580</v>
      </c>
      <c r="L838" s="92" t="s">
        <v>5778</v>
      </c>
      <c r="M838" s="83">
        <f t="shared" si="1"/>
        <v>256</v>
      </c>
      <c r="N838" s="84">
        <v>0.0</v>
      </c>
      <c r="O838" s="84">
        <v>256.0</v>
      </c>
      <c r="P838" s="84">
        <v>0.0</v>
      </c>
      <c r="Q838" s="94">
        <v>11000.0</v>
      </c>
      <c r="R838" s="94">
        <v>4399.0</v>
      </c>
      <c r="S838" s="95" t="s">
        <v>103</v>
      </c>
      <c r="T838" s="94">
        <v>2.0</v>
      </c>
      <c r="U838" s="96">
        <v>39588.0</v>
      </c>
      <c r="V838" s="97" t="s">
        <v>5779</v>
      </c>
      <c r="W838" s="97" t="s">
        <v>5780</v>
      </c>
      <c r="X838" s="79" t="s">
        <v>5781</v>
      </c>
      <c r="Y838" s="98"/>
      <c r="Z838" s="98"/>
      <c r="AA838" s="98"/>
      <c r="AB838" s="98"/>
      <c r="AC838" s="98"/>
      <c r="AD838" s="98"/>
      <c r="AE838" s="98"/>
      <c r="AF838" s="98"/>
      <c r="AG838" s="98"/>
      <c r="AH838" s="98"/>
      <c r="AI838" s="98"/>
      <c r="AJ838" s="98"/>
      <c r="AK838" s="98"/>
      <c r="AL838" s="98"/>
      <c r="AM838" s="98"/>
      <c r="AN838" s="98"/>
      <c r="AO838" s="98"/>
      <c r="AP838" s="98"/>
      <c r="AQ838" s="98"/>
      <c r="AR838" s="98"/>
    </row>
    <row r="839" ht="20.25" customHeight="1">
      <c r="A839" s="79">
        <v>828.0</v>
      </c>
      <c r="B839" s="91" t="s">
        <v>39</v>
      </c>
      <c r="C839" s="91" t="s">
        <v>5708</v>
      </c>
      <c r="D839" s="91" t="s">
        <v>5709</v>
      </c>
      <c r="E839" s="92" t="s">
        <v>5782</v>
      </c>
      <c r="F839" s="91" t="s">
        <v>22</v>
      </c>
      <c r="G839" s="80" t="s">
        <v>12</v>
      </c>
      <c r="H839" s="80" t="s">
        <v>22</v>
      </c>
      <c r="I839" s="91" t="s">
        <v>5783</v>
      </c>
      <c r="J839" s="80" t="s">
        <v>43</v>
      </c>
      <c r="K839" s="91" t="s">
        <v>5784</v>
      </c>
      <c r="L839" s="92" t="s">
        <v>5785</v>
      </c>
      <c r="M839" s="83">
        <f t="shared" si="1"/>
        <v>300</v>
      </c>
      <c r="N839" s="84"/>
      <c r="O839" s="84">
        <v>300.0</v>
      </c>
      <c r="P839" s="84"/>
      <c r="Q839" s="94">
        <v>8218.0</v>
      </c>
      <c r="R839" s="94">
        <v>4349.31</v>
      </c>
      <c r="S839" s="95" t="s">
        <v>5786</v>
      </c>
      <c r="T839" s="94">
        <v>2.0</v>
      </c>
      <c r="U839" s="96">
        <v>41712.0</v>
      </c>
      <c r="V839" s="97" t="s">
        <v>5787</v>
      </c>
      <c r="W839" s="97" t="s">
        <v>5788</v>
      </c>
      <c r="X839" s="79" t="s">
        <v>5789</v>
      </c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  <c r="AL839" s="57"/>
      <c r="AM839" s="57"/>
      <c r="AN839" s="57"/>
      <c r="AO839" s="57"/>
      <c r="AP839" s="57"/>
      <c r="AQ839" s="57"/>
      <c r="AR839" s="57"/>
    </row>
    <row r="840" ht="20.25" customHeight="1">
      <c r="A840" s="79">
        <v>829.0</v>
      </c>
      <c r="B840" s="91" t="s">
        <v>39</v>
      </c>
      <c r="C840" s="91" t="s">
        <v>5708</v>
      </c>
      <c r="D840" s="91" t="s">
        <v>5790</v>
      </c>
      <c r="E840" s="92" t="s">
        <v>5791</v>
      </c>
      <c r="F840" s="91" t="s">
        <v>22</v>
      </c>
      <c r="G840" s="80" t="s">
        <v>46</v>
      </c>
      <c r="H840" s="80" t="s">
        <v>22</v>
      </c>
      <c r="I840" s="91" t="s">
        <v>5792</v>
      </c>
      <c r="J840" s="80" t="s">
        <v>43</v>
      </c>
      <c r="K840" s="91" t="s">
        <v>5792</v>
      </c>
      <c r="L840" s="92" t="s">
        <v>5793</v>
      </c>
      <c r="M840" s="83">
        <f t="shared" si="1"/>
        <v>670</v>
      </c>
      <c r="N840" s="84">
        <v>0.0</v>
      </c>
      <c r="O840" s="84">
        <v>670.0</v>
      </c>
      <c r="P840" s="84">
        <v>0.0</v>
      </c>
      <c r="Q840" s="94">
        <v>19956.0</v>
      </c>
      <c r="R840" s="94">
        <v>9471.0</v>
      </c>
      <c r="S840" s="95" t="s">
        <v>5794</v>
      </c>
      <c r="T840" s="94">
        <v>2.0</v>
      </c>
      <c r="U840" s="96">
        <v>42906.0</v>
      </c>
      <c r="V840" s="97" t="s">
        <v>5795</v>
      </c>
      <c r="W840" s="97" t="s">
        <v>5796</v>
      </c>
      <c r="X840" s="79" t="s">
        <v>5797</v>
      </c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  <c r="AL840" s="57"/>
      <c r="AM840" s="57"/>
      <c r="AN840" s="57"/>
      <c r="AO840" s="57"/>
      <c r="AP840" s="57"/>
      <c r="AQ840" s="57"/>
      <c r="AR840" s="57"/>
    </row>
    <row r="841" ht="20.25" customHeight="1">
      <c r="A841" s="79">
        <v>830.0</v>
      </c>
      <c r="B841" s="91" t="s">
        <v>39</v>
      </c>
      <c r="C841" s="91" t="s">
        <v>5708</v>
      </c>
      <c r="D841" s="91" t="s">
        <v>5709</v>
      </c>
      <c r="E841" s="92" t="s">
        <v>5798</v>
      </c>
      <c r="F841" s="91" t="s">
        <v>1807</v>
      </c>
      <c r="G841" s="80" t="s">
        <v>44</v>
      </c>
      <c r="H841" s="80" t="s">
        <v>21</v>
      </c>
      <c r="I841" s="80" t="s">
        <v>5799</v>
      </c>
      <c r="J841" s="80" t="s">
        <v>43</v>
      </c>
      <c r="K841" s="80" t="s">
        <v>5708</v>
      </c>
      <c r="L841" s="92" t="s">
        <v>5800</v>
      </c>
      <c r="M841" s="83">
        <f t="shared" si="1"/>
        <v>100</v>
      </c>
      <c r="N841" s="84">
        <v>100.0</v>
      </c>
      <c r="O841" s="84"/>
      <c r="P841" s="84"/>
      <c r="Q841" s="94">
        <v>766.0</v>
      </c>
      <c r="R841" s="94">
        <v>766.0</v>
      </c>
      <c r="S841" s="95" t="s">
        <v>217</v>
      </c>
      <c r="T841" s="94">
        <v>1.0</v>
      </c>
      <c r="U841" s="96">
        <v>38446.0</v>
      </c>
      <c r="V841" s="97" t="s">
        <v>5801</v>
      </c>
      <c r="W841" s="97" t="s">
        <v>5802</v>
      </c>
      <c r="X841" s="79" t="s">
        <v>5803</v>
      </c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  <c r="AL841" s="57"/>
      <c r="AM841" s="57"/>
      <c r="AN841" s="57"/>
      <c r="AO841" s="57"/>
      <c r="AP841" s="57"/>
      <c r="AQ841" s="57"/>
      <c r="AR841" s="57"/>
    </row>
    <row r="842" ht="20.25" customHeight="1">
      <c r="A842" s="79">
        <v>831.0</v>
      </c>
      <c r="B842" s="91" t="s">
        <v>39</v>
      </c>
      <c r="C842" s="91" t="s">
        <v>5708</v>
      </c>
      <c r="D842" s="91" t="s">
        <v>5757</v>
      </c>
      <c r="E842" s="92" t="s">
        <v>4085</v>
      </c>
      <c r="F842" s="91" t="s">
        <v>1807</v>
      </c>
      <c r="G842" s="80" t="s">
        <v>44</v>
      </c>
      <c r="H842" s="80" t="s">
        <v>21</v>
      </c>
      <c r="I842" s="91" t="s">
        <v>5711</v>
      </c>
      <c r="J842" s="80" t="s">
        <v>43</v>
      </c>
      <c r="K842" s="91" t="s">
        <v>5757</v>
      </c>
      <c r="L842" s="92" t="s">
        <v>5804</v>
      </c>
      <c r="M842" s="83">
        <f t="shared" si="1"/>
        <v>110</v>
      </c>
      <c r="N842" s="84">
        <v>110.0</v>
      </c>
      <c r="O842" s="84"/>
      <c r="P842" s="84"/>
      <c r="Q842" s="94">
        <v>1998.0</v>
      </c>
      <c r="R842" s="94">
        <v>673.25</v>
      </c>
      <c r="S842" s="95" t="s">
        <v>5805</v>
      </c>
      <c r="T842" s="94">
        <v>1.0</v>
      </c>
      <c r="U842" s="96">
        <v>36911.0</v>
      </c>
      <c r="V842" s="97" t="s">
        <v>5806</v>
      </c>
      <c r="W842" s="97" t="s">
        <v>5807</v>
      </c>
      <c r="X842" s="79" t="s">
        <v>5808</v>
      </c>
      <c r="Y842" s="98"/>
      <c r="Z842" s="98"/>
      <c r="AA842" s="98"/>
      <c r="AB842" s="98"/>
      <c r="AC842" s="98"/>
      <c r="AD842" s="98"/>
      <c r="AE842" s="98"/>
      <c r="AF842" s="98"/>
      <c r="AG842" s="98"/>
      <c r="AH842" s="98"/>
      <c r="AI842" s="98"/>
      <c r="AJ842" s="98"/>
      <c r="AK842" s="98"/>
      <c r="AL842" s="98"/>
      <c r="AM842" s="98"/>
      <c r="AN842" s="98"/>
      <c r="AO842" s="98"/>
      <c r="AP842" s="98"/>
      <c r="AQ842" s="98"/>
      <c r="AR842" s="98"/>
    </row>
    <row r="843" ht="20.25" customHeight="1">
      <c r="A843" s="79">
        <v>832.0</v>
      </c>
      <c r="B843" s="91" t="s">
        <v>39</v>
      </c>
      <c r="C843" s="91" t="s">
        <v>5708</v>
      </c>
      <c r="D843" s="91" t="s">
        <v>5809</v>
      </c>
      <c r="E843" s="92" t="s">
        <v>5810</v>
      </c>
      <c r="F843" s="91" t="s">
        <v>1807</v>
      </c>
      <c r="G843" s="80" t="s">
        <v>44</v>
      </c>
      <c r="H843" s="80" t="s">
        <v>21</v>
      </c>
      <c r="I843" s="91" t="s">
        <v>5711</v>
      </c>
      <c r="J843" s="80" t="s">
        <v>45</v>
      </c>
      <c r="K843" s="91" t="s">
        <v>5811</v>
      </c>
      <c r="L843" s="92" t="s">
        <v>5812</v>
      </c>
      <c r="M843" s="83">
        <f t="shared" si="1"/>
        <v>226</v>
      </c>
      <c r="N843" s="84">
        <v>226.0</v>
      </c>
      <c r="O843" s="84"/>
      <c r="P843" s="84"/>
      <c r="Q843" s="94">
        <v>223.2</v>
      </c>
      <c r="R843" s="94">
        <v>700.4</v>
      </c>
      <c r="S843" s="95" t="s">
        <v>5813</v>
      </c>
      <c r="T843" s="94">
        <v>1.0</v>
      </c>
      <c r="U843" s="96">
        <v>36676.0</v>
      </c>
      <c r="V843" s="97" t="s">
        <v>5814</v>
      </c>
      <c r="W843" s="97" t="s">
        <v>5815</v>
      </c>
      <c r="X843" s="79" t="s">
        <v>5816</v>
      </c>
      <c r="Y843" s="98"/>
      <c r="Z843" s="98"/>
      <c r="AA843" s="98"/>
      <c r="AB843" s="98"/>
      <c r="AC843" s="98"/>
      <c r="AD843" s="98"/>
      <c r="AE843" s="98"/>
      <c r="AF843" s="98"/>
      <c r="AG843" s="98"/>
      <c r="AH843" s="98"/>
      <c r="AI843" s="98"/>
      <c r="AJ843" s="98"/>
      <c r="AK843" s="98"/>
      <c r="AL843" s="98"/>
      <c r="AM843" s="98"/>
      <c r="AN843" s="98"/>
      <c r="AO843" s="98"/>
      <c r="AP843" s="98"/>
      <c r="AQ843" s="98"/>
      <c r="AR843" s="98"/>
    </row>
    <row r="844" ht="20.25" customHeight="1">
      <c r="A844" s="79">
        <v>833.0</v>
      </c>
      <c r="B844" s="91" t="s">
        <v>39</v>
      </c>
      <c r="C844" s="91" t="s">
        <v>5708</v>
      </c>
      <c r="D844" s="91" t="s">
        <v>5817</v>
      </c>
      <c r="E844" s="92" t="s">
        <v>5818</v>
      </c>
      <c r="F844" s="91" t="s">
        <v>1807</v>
      </c>
      <c r="G844" s="80" t="s">
        <v>44</v>
      </c>
      <c r="H844" s="80" t="s">
        <v>21</v>
      </c>
      <c r="I844" s="91" t="s">
        <v>5711</v>
      </c>
      <c r="J844" s="80" t="s">
        <v>43</v>
      </c>
      <c r="K844" s="91" t="s">
        <v>5708</v>
      </c>
      <c r="L844" s="92" t="s">
        <v>5819</v>
      </c>
      <c r="M844" s="83">
        <f t="shared" si="1"/>
        <v>110</v>
      </c>
      <c r="N844" s="84">
        <v>110.0</v>
      </c>
      <c r="O844" s="84"/>
      <c r="P844" s="84"/>
      <c r="Q844" s="94">
        <v>1090.0</v>
      </c>
      <c r="R844" s="94">
        <v>677.94</v>
      </c>
      <c r="S844" s="95" t="s">
        <v>380</v>
      </c>
      <c r="T844" s="94">
        <v>1.0</v>
      </c>
      <c r="U844" s="96">
        <v>41751.0</v>
      </c>
      <c r="V844" s="97" t="s">
        <v>5820</v>
      </c>
      <c r="W844" s="97" t="s">
        <v>5821</v>
      </c>
      <c r="X844" s="79" t="s">
        <v>5822</v>
      </c>
      <c r="Y844" s="98"/>
      <c r="Z844" s="98"/>
      <c r="AA844" s="98"/>
      <c r="AB844" s="98"/>
      <c r="AC844" s="98"/>
      <c r="AD844" s="98"/>
      <c r="AE844" s="98"/>
      <c r="AF844" s="98"/>
      <c r="AG844" s="98"/>
      <c r="AH844" s="98"/>
      <c r="AI844" s="98"/>
      <c r="AJ844" s="98"/>
      <c r="AK844" s="98"/>
      <c r="AL844" s="98"/>
      <c r="AM844" s="98"/>
      <c r="AN844" s="98"/>
      <c r="AO844" s="98"/>
      <c r="AP844" s="98"/>
      <c r="AQ844" s="98"/>
      <c r="AR844" s="98"/>
    </row>
    <row r="845" ht="20.25" customHeight="1">
      <c r="A845" s="79">
        <v>834.0</v>
      </c>
      <c r="B845" s="91" t="s">
        <v>39</v>
      </c>
      <c r="C845" s="91" t="s">
        <v>5708</v>
      </c>
      <c r="D845" s="91" t="s">
        <v>5809</v>
      </c>
      <c r="E845" s="92" t="s">
        <v>5823</v>
      </c>
      <c r="F845" s="91" t="s">
        <v>1807</v>
      </c>
      <c r="G845" s="80" t="s">
        <v>44</v>
      </c>
      <c r="H845" s="80" t="s">
        <v>21</v>
      </c>
      <c r="I845" s="91" t="s">
        <v>5711</v>
      </c>
      <c r="J845" s="80" t="s">
        <v>43</v>
      </c>
      <c r="K845" s="91" t="s">
        <v>5708</v>
      </c>
      <c r="L845" s="92" t="s">
        <v>5824</v>
      </c>
      <c r="M845" s="83">
        <f t="shared" si="1"/>
        <v>80</v>
      </c>
      <c r="N845" s="84">
        <v>80.0</v>
      </c>
      <c r="O845" s="84"/>
      <c r="P845" s="84"/>
      <c r="Q845" s="94">
        <v>1013.0</v>
      </c>
      <c r="R845" s="94">
        <v>582.0</v>
      </c>
      <c r="S845" s="95" t="s">
        <v>217</v>
      </c>
      <c r="T845" s="94">
        <v>1.0</v>
      </c>
      <c r="U845" s="96">
        <v>38502.0</v>
      </c>
      <c r="V845" s="97" t="s">
        <v>5825</v>
      </c>
      <c r="W845" s="97" t="s">
        <v>5826</v>
      </c>
      <c r="X845" s="79" t="s">
        <v>5827</v>
      </c>
      <c r="Y845" s="98"/>
      <c r="Z845" s="98"/>
      <c r="AA845" s="98"/>
      <c r="AB845" s="98"/>
      <c r="AC845" s="98"/>
      <c r="AD845" s="98"/>
      <c r="AE845" s="98"/>
      <c r="AF845" s="98"/>
      <c r="AG845" s="98"/>
      <c r="AH845" s="98"/>
      <c r="AI845" s="98"/>
      <c r="AJ845" s="98"/>
      <c r="AK845" s="98"/>
      <c r="AL845" s="98"/>
      <c r="AM845" s="98"/>
      <c r="AN845" s="98"/>
      <c r="AO845" s="98"/>
      <c r="AP845" s="98"/>
      <c r="AQ845" s="98"/>
      <c r="AR845" s="98"/>
    </row>
    <row r="846" ht="20.25" customHeight="1">
      <c r="A846" s="79">
        <v>835.0</v>
      </c>
      <c r="B846" s="91" t="s">
        <v>39</v>
      </c>
      <c r="C846" s="91" t="s">
        <v>5708</v>
      </c>
      <c r="D846" s="91" t="s">
        <v>5743</v>
      </c>
      <c r="E846" s="92" t="s">
        <v>5828</v>
      </c>
      <c r="F846" s="91" t="s">
        <v>1807</v>
      </c>
      <c r="G846" s="80" t="s">
        <v>44</v>
      </c>
      <c r="H846" s="80" t="s">
        <v>21</v>
      </c>
      <c r="I846" s="91" t="s">
        <v>5711</v>
      </c>
      <c r="J846" s="80" t="s">
        <v>43</v>
      </c>
      <c r="K846" s="91" t="s">
        <v>5743</v>
      </c>
      <c r="L846" s="92" t="s">
        <v>5829</v>
      </c>
      <c r="M846" s="83">
        <f t="shared" si="1"/>
        <v>122</v>
      </c>
      <c r="N846" s="84">
        <v>122.0</v>
      </c>
      <c r="O846" s="84"/>
      <c r="P846" s="84"/>
      <c r="Q846" s="94">
        <v>1920.0</v>
      </c>
      <c r="R846" s="94">
        <v>634.0</v>
      </c>
      <c r="S846" s="95" t="s">
        <v>697</v>
      </c>
      <c r="T846" s="94">
        <v>1.0</v>
      </c>
      <c r="U846" s="96">
        <v>38688.0</v>
      </c>
      <c r="V846" s="97" t="s">
        <v>5830</v>
      </c>
      <c r="W846" s="97" t="s">
        <v>5831</v>
      </c>
      <c r="X846" s="79" t="s">
        <v>5832</v>
      </c>
      <c r="Y846" s="98"/>
      <c r="Z846" s="98"/>
      <c r="AA846" s="98"/>
      <c r="AB846" s="98"/>
      <c r="AC846" s="98"/>
      <c r="AD846" s="98"/>
      <c r="AE846" s="98"/>
      <c r="AF846" s="98"/>
      <c r="AG846" s="98"/>
      <c r="AH846" s="98"/>
      <c r="AI846" s="98"/>
      <c r="AJ846" s="98"/>
      <c r="AK846" s="98"/>
      <c r="AL846" s="98"/>
      <c r="AM846" s="98"/>
      <c r="AN846" s="98"/>
      <c r="AO846" s="98"/>
      <c r="AP846" s="98"/>
      <c r="AQ846" s="98"/>
      <c r="AR846" s="98"/>
    </row>
    <row r="847" ht="20.25" customHeight="1">
      <c r="A847" s="79">
        <v>836.0</v>
      </c>
      <c r="B847" s="91" t="s">
        <v>39</v>
      </c>
      <c r="C847" s="91" t="s">
        <v>5708</v>
      </c>
      <c r="D847" s="91" t="s">
        <v>5764</v>
      </c>
      <c r="E847" s="92" t="s">
        <v>5833</v>
      </c>
      <c r="F847" s="91" t="s">
        <v>1807</v>
      </c>
      <c r="G847" s="80" t="s">
        <v>44</v>
      </c>
      <c r="H847" s="80" t="s">
        <v>21</v>
      </c>
      <c r="I847" s="91" t="s">
        <v>5711</v>
      </c>
      <c r="J847" s="80" t="s">
        <v>43</v>
      </c>
      <c r="K847" s="91" t="s">
        <v>5764</v>
      </c>
      <c r="L847" s="92" t="s">
        <v>5834</v>
      </c>
      <c r="M847" s="83">
        <f t="shared" si="1"/>
        <v>150</v>
      </c>
      <c r="N847" s="84">
        <v>150.0</v>
      </c>
      <c r="O847" s="84"/>
      <c r="P847" s="84"/>
      <c r="Q847" s="94">
        <v>1939.0</v>
      </c>
      <c r="R847" s="94">
        <v>918.0</v>
      </c>
      <c r="S847" s="95" t="s">
        <v>350</v>
      </c>
      <c r="T847" s="94">
        <v>1.0</v>
      </c>
      <c r="U847" s="96">
        <v>40502.0</v>
      </c>
      <c r="V847" s="97" t="s">
        <v>5835</v>
      </c>
      <c r="W847" s="97" t="s">
        <v>5836</v>
      </c>
      <c r="X847" s="79" t="s">
        <v>5837</v>
      </c>
      <c r="Y847" s="98"/>
      <c r="Z847" s="98"/>
      <c r="AA847" s="98"/>
      <c r="AB847" s="98"/>
      <c r="AC847" s="98"/>
      <c r="AD847" s="98"/>
      <c r="AE847" s="98"/>
      <c r="AF847" s="98"/>
      <c r="AG847" s="98"/>
      <c r="AH847" s="98"/>
      <c r="AI847" s="98"/>
      <c r="AJ847" s="98"/>
      <c r="AK847" s="98"/>
      <c r="AL847" s="98"/>
      <c r="AM847" s="98"/>
      <c r="AN847" s="98"/>
      <c r="AO847" s="98"/>
      <c r="AP847" s="98"/>
      <c r="AQ847" s="98"/>
      <c r="AR847" s="98"/>
    </row>
    <row r="848" ht="20.25" customHeight="1">
      <c r="A848" s="79">
        <v>837.0</v>
      </c>
      <c r="B848" s="91" t="s">
        <v>39</v>
      </c>
      <c r="C848" s="91" t="s">
        <v>5708</v>
      </c>
      <c r="D848" s="91" t="s">
        <v>5838</v>
      </c>
      <c r="E848" s="92" t="s">
        <v>5839</v>
      </c>
      <c r="F848" s="91" t="s">
        <v>1807</v>
      </c>
      <c r="G848" s="80" t="s">
        <v>44</v>
      </c>
      <c r="H848" s="80" t="s">
        <v>21</v>
      </c>
      <c r="I848" s="91" t="s">
        <v>5711</v>
      </c>
      <c r="J848" s="80" t="s">
        <v>43</v>
      </c>
      <c r="K848" s="91" t="s">
        <v>5838</v>
      </c>
      <c r="L848" s="92" t="s">
        <v>5840</v>
      </c>
      <c r="M848" s="83">
        <f t="shared" si="1"/>
        <v>120</v>
      </c>
      <c r="N848" s="84">
        <v>120.0</v>
      </c>
      <c r="O848" s="84"/>
      <c r="P848" s="84"/>
      <c r="Q848" s="94">
        <v>1959.0</v>
      </c>
      <c r="R848" s="94">
        <v>664.0</v>
      </c>
      <c r="S848" s="95" t="s">
        <v>350</v>
      </c>
      <c r="T848" s="94">
        <v>1.0</v>
      </c>
      <c r="U848" s="96">
        <v>40026.0</v>
      </c>
      <c r="V848" s="97" t="s">
        <v>5841</v>
      </c>
      <c r="W848" s="97" t="s">
        <v>5842</v>
      </c>
      <c r="X848" s="79" t="s">
        <v>5843</v>
      </c>
      <c r="Y848" s="98"/>
      <c r="Z848" s="98"/>
      <c r="AA848" s="98"/>
      <c r="AB848" s="98"/>
      <c r="AC848" s="98"/>
      <c r="AD848" s="98"/>
      <c r="AE848" s="98"/>
      <c r="AF848" s="98"/>
      <c r="AG848" s="98"/>
      <c r="AH848" s="98"/>
      <c r="AI848" s="98"/>
      <c r="AJ848" s="98"/>
      <c r="AK848" s="98"/>
      <c r="AL848" s="98"/>
      <c r="AM848" s="98"/>
      <c r="AN848" s="98"/>
      <c r="AO848" s="98"/>
      <c r="AP848" s="98"/>
      <c r="AQ848" s="98"/>
      <c r="AR848" s="98"/>
    </row>
    <row r="849" ht="20.25" customHeight="1">
      <c r="A849" s="79">
        <v>838.0</v>
      </c>
      <c r="B849" s="91" t="s">
        <v>39</v>
      </c>
      <c r="C849" s="91" t="s">
        <v>5708</v>
      </c>
      <c r="D849" s="91" t="s">
        <v>5790</v>
      </c>
      <c r="E849" s="92" t="s">
        <v>5844</v>
      </c>
      <c r="F849" s="91" t="s">
        <v>1807</v>
      </c>
      <c r="G849" s="80" t="s">
        <v>44</v>
      </c>
      <c r="H849" s="80" t="s">
        <v>21</v>
      </c>
      <c r="I849" s="91" t="s">
        <v>5711</v>
      </c>
      <c r="J849" s="80" t="s">
        <v>43</v>
      </c>
      <c r="K849" s="91" t="s">
        <v>5708</v>
      </c>
      <c r="L849" s="92" t="s">
        <v>5845</v>
      </c>
      <c r="M849" s="83">
        <f t="shared" si="1"/>
        <v>120</v>
      </c>
      <c r="N849" s="84">
        <v>120.0</v>
      </c>
      <c r="O849" s="84"/>
      <c r="P849" s="84"/>
      <c r="Q849" s="94">
        <v>983.0</v>
      </c>
      <c r="R849" s="94">
        <v>804.45</v>
      </c>
      <c r="S849" s="95" t="s">
        <v>697</v>
      </c>
      <c r="T849" s="94">
        <v>1.0</v>
      </c>
      <c r="U849" s="96">
        <v>43250.0</v>
      </c>
      <c r="V849" s="97" t="s">
        <v>5846</v>
      </c>
      <c r="W849" s="97" t="s">
        <v>5847</v>
      </c>
      <c r="X849" s="79" t="s">
        <v>5748</v>
      </c>
      <c r="Y849" s="98"/>
      <c r="Z849" s="98"/>
      <c r="AA849" s="98"/>
      <c r="AB849" s="98"/>
      <c r="AC849" s="98"/>
      <c r="AD849" s="98"/>
      <c r="AE849" s="98"/>
      <c r="AF849" s="98"/>
      <c r="AG849" s="98"/>
      <c r="AH849" s="98"/>
      <c r="AI849" s="98"/>
      <c r="AJ849" s="98"/>
      <c r="AK849" s="98"/>
      <c r="AL849" s="98"/>
      <c r="AM849" s="98"/>
      <c r="AN849" s="98"/>
      <c r="AO849" s="98"/>
      <c r="AP849" s="98"/>
      <c r="AQ849" s="98"/>
      <c r="AR849" s="98"/>
    </row>
    <row r="850" ht="20.25" customHeight="1">
      <c r="A850" s="79">
        <v>839.0</v>
      </c>
      <c r="B850" s="91" t="s">
        <v>39</v>
      </c>
      <c r="C850" s="91" t="s">
        <v>5848</v>
      </c>
      <c r="D850" s="91" t="s">
        <v>5849</v>
      </c>
      <c r="E850" s="92" t="s">
        <v>5850</v>
      </c>
      <c r="F850" s="91" t="s">
        <v>1807</v>
      </c>
      <c r="G850" s="80" t="s">
        <v>48</v>
      </c>
      <c r="H850" s="80" t="s">
        <v>21</v>
      </c>
      <c r="I850" s="91" t="s">
        <v>5711</v>
      </c>
      <c r="J850" s="80" t="s">
        <v>45</v>
      </c>
      <c r="K850" s="91" t="s">
        <v>5851</v>
      </c>
      <c r="L850" s="92" t="s">
        <v>5852</v>
      </c>
      <c r="M850" s="83">
        <f t="shared" si="1"/>
        <v>570</v>
      </c>
      <c r="N850" s="84"/>
      <c r="O850" s="84"/>
      <c r="P850" s="84">
        <v>570.0</v>
      </c>
      <c r="Q850" s="94">
        <v>128946.0</v>
      </c>
      <c r="R850" s="94">
        <v>646.5</v>
      </c>
      <c r="S850" s="95" t="s">
        <v>5853</v>
      </c>
      <c r="T850" s="94">
        <v>4.0</v>
      </c>
      <c r="U850" s="96">
        <v>39004.0</v>
      </c>
      <c r="V850" s="97" t="s">
        <v>5854</v>
      </c>
      <c r="W850" s="97" t="s">
        <v>5855</v>
      </c>
      <c r="X850" s="79"/>
      <c r="Y850" s="98"/>
      <c r="Z850" s="98"/>
      <c r="AA850" s="98"/>
      <c r="AB850" s="98"/>
      <c r="AC850" s="98"/>
      <c r="AD850" s="98"/>
      <c r="AE850" s="98"/>
      <c r="AF850" s="98"/>
      <c r="AG850" s="98"/>
      <c r="AH850" s="98"/>
      <c r="AI850" s="98"/>
      <c r="AJ850" s="98"/>
      <c r="AK850" s="98"/>
      <c r="AL850" s="98"/>
      <c r="AM850" s="98"/>
      <c r="AN850" s="98"/>
      <c r="AO850" s="98"/>
      <c r="AP850" s="98"/>
      <c r="AQ850" s="98"/>
      <c r="AR850" s="98"/>
    </row>
    <row r="851" ht="20.25" customHeight="1">
      <c r="A851" s="79">
        <v>840.0</v>
      </c>
      <c r="B851" s="91" t="s">
        <v>39</v>
      </c>
      <c r="C851" s="91" t="s">
        <v>5848</v>
      </c>
      <c r="D851" s="91" t="s">
        <v>5856</v>
      </c>
      <c r="E851" s="92" t="s">
        <v>5857</v>
      </c>
      <c r="F851" s="91" t="s">
        <v>1807</v>
      </c>
      <c r="G851" s="80" t="s">
        <v>42</v>
      </c>
      <c r="H851" s="80" t="s">
        <v>21</v>
      </c>
      <c r="I851" s="91" t="s">
        <v>5711</v>
      </c>
      <c r="J851" s="80" t="s">
        <v>43</v>
      </c>
      <c r="K851" s="91" t="s">
        <v>5851</v>
      </c>
      <c r="L851" s="92" t="s">
        <v>5858</v>
      </c>
      <c r="M851" s="83">
        <f t="shared" si="1"/>
        <v>222</v>
      </c>
      <c r="N851" s="84">
        <v>222.0</v>
      </c>
      <c r="O851" s="84"/>
      <c r="P851" s="84"/>
      <c r="Q851" s="94">
        <v>1913.0</v>
      </c>
      <c r="R851" s="94">
        <v>3887.0</v>
      </c>
      <c r="S851" s="95" t="s">
        <v>291</v>
      </c>
      <c r="T851" s="94">
        <v>1.0</v>
      </c>
      <c r="U851" s="96">
        <v>37240.0</v>
      </c>
      <c r="V851" s="97" t="s">
        <v>5859</v>
      </c>
      <c r="W851" s="97" t="s">
        <v>5860</v>
      </c>
      <c r="X851" s="79" t="s">
        <v>5861</v>
      </c>
      <c r="Y851" s="98"/>
      <c r="Z851" s="98"/>
      <c r="AA851" s="98"/>
      <c r="AB851" s="98"/>
      <c r="AC851" s="98"/>
      <c r="AD851" s="98"/>
      <c r="AE851" s="98"/>
      <c r="AF851" s="98"/>
      <c r="AG851" s="98"/>
      <c r="AH851" s="98"/>
      <c r="AI851" s="98"/>
      <c r="AJ851" s="98"/>
      <c r="AK851" s="98"/>
      <c r="AL851" s="98"/>
      <c r="AM851" s="98"/>
      <c r="AN851" s="98"/>
      <c r="AO851" s="98"/>
      <c r="AP851" s="98"/>
      <c r="AQ851" s="98"/>
      <c r="AR851" s="98"/>
    </row>
    <row r="852" ht="20.25" customHeight="1">
      <c r="A852" s="79">
        <v>841.0</v>
      </c>
      <c r="B852" s="91" t="s">
        <v>39</v>
      </c>
      <c r="C852" s="91" t="s">
        <v>5848</v>
      </c>
      <c r="D852" s="91" t="s">
        <v>5862</v>
      </c>
      <c r="E852" s="92" t="s">
        <v>5863</v>
      </c>
      <c r="F852" s="91" t="s">
        <v>22</v>
      </c>
      <c r="G852" s="80" t="s">
        <v>46</v>
      </c>
      <c r="H852" s="80" t="s">
        <v>22</v>
      </c>
      <c r="I852" s="91" t="s">
        <v>5864</v>
      </c>
      <c r="J852" s="80" t="s">
        <v>43</v>
      </c>
      <c r="K852" s="91" t="s">
        <v>5864</v>
      </c>
      <c r="L852" s="92" t="s">
        <v>5865</v>
      </c>
      <c r="M852" s="83">
        <f t="shared" si="1"/>
        <v>354</v>
      </c>
      <c r="N852" s="84"/>
      <c r="O852" s="84">
        <v>354.0</v>
      </c>
      <c r="P852" s="84"/>
      <c r="Q852" s="94">
        <v>19212.0</v>
      </c>
      <c r="R852" s="94">
        <v>7678.0</v>
      </c>
      <c r="S852" s="95" t="s">
        <v>291</v>
      </c>
      <c r="T852" s="94">
        <v>7.0</v>
      </c>
      <c r="U852" s="96">
        <v>41989.0</v>
      </c>
      <c r="V852" s="97" t="s">
        <v>5866</v>
      </c>
      <c r="W852" s="97" t="s">
        <v>5867</v>
      </c>
      <c r="X852" s="79" t="s">
        <v>5868</v>
      </c>
      <c r="Y852" s="98"/>
      <c r="Z852" s="98"/>
      <c r="AA852" s="98"/>
      <c r="AB852" s="98"/>
      <c r="AC852" s="98"/>
      <c r="AD852" s="98"/>
      <c r="AE852" s="98"/>
      <c r="AF852" s="98"/>
      <c r="AG852" s="98"/>
      <c r="AH852" s="98"/>
      <c r="AI852" s="98"/>
      <c r="AJ852" s="98"/>
      <c r="AK852" s="98"/>
      <c r="AL852" s="98"/>
      <c r="AM852" s="98"/>
      <c r="AN852" s="98"/>
      <c r="AO852" s="98"/>
      <c r="AP852" s="98"/>
      <c r="AQ852" s="98"/>
      <c r="AR852" s="98"/>
    </row>
    <row r="853" ht="20.25" customHeight="1">
      <c r="A853" s="79">
        <v>842.0</v>
      </c>
      <c r="B853" s="91" t="s">
        <v>39</v>
      </c>
      <c r="C853" s="91" t="s">
        <v>5848</v>
      </c>
      <c r="D853" s="91" t="s">
        <v>5849</v>
      </c>
      <c r="E853" s="92" t="s">
        <v>5869</v>
      </c>
      <c r="F853" s="91" t="s">
        <v>1807</v>
      </c>
      <c r="G853" s="80" t="s">
        <v>12</v>
      </c>
      <c r="H853" s="80" t="s">
        <v>21</v>
      </c>
      <c r="I853" s="91" t="s">
        <v>5711</v>
      </c>
      <c r="J853" s="80" t="s">
        <v>45</v>
      </c>
      <c r="K853" s="91" t="s">
        <v>5851</v>
      </c>
      <c r="L853" s="92" t="s">
        <v>5870</v>
      </c>
      <c r="M853" s="83">
        <f t="shared" si="1"/>
        <v>348</v>
      </c>
      <c r="N853" s="84"/>
      <c r="O853" s="84">
        <v>348.0</v>
      </c>
      <c r="P853" s="84"/>
      <c r="Q853" s="94">
        <v>14468.0</v>
      </c>
      <c r="R853" s="94">
        <v>3289.42</v>
      </c>
      <c r="S853" s="95" t="s">
        <v>291</v>
      </c>
      <c r="T853" s="94">
        <v>3.0</v>
      </c>
      <c r="U853" s="96">
        <v>36099.0</v>
      </c>
      <c r="V853" s="97" t="s">
        <v>5854</v>
      </c>
      <c r="W853" s="97" t="s">
        <v>5855</v>
      </c>
      <c r="X853" s="79"/>
      <c r="Y853" s="98"/>
      <c r="Z853" s="98"/>
      <c r="AA853" s="98"/>
      <c r="AB853" s="98"/>
      <c r="AC853" s="98"/>
      <c r="AD853" s="98"/>
      <c r="AE853" s="98"/>
      <c r="AF853" s="98"/>
      <c r="AG853" s="98"/>
      <c r="AH853" s="98"/>
      <c r="AI853" s="98"/>
      <c r="AJ853" s="98"/>
      <c r="AK853" s="98"/>
      <c r="AL853" s="98"/>
      <c r="AM853" s="98"/>
      <c r="AN853" s="98"/>
      <c r="AO853" s="98"/>
      <c r="AP853" s="98"/>
      <c r="AQ853" s="98"/>
      <c r="AR853" s="98"/>
    </row>
    <row r="854" ht="20.25" customHeight="1">
      <c r="A854" s="79">
        <v>843.0</v>
      </c>
      <c r="B854" s="91" t="s">
        <v>39</v>
      </c>
      <c r="C854" s="91" t="s">
        <v>5848</v>
      </c>
      <c r="D854" s="91" t="s">
        <v>5871</v>
      </c>
      <c r="E854" s="92" t="s">
        <v>5872</v>
      </c>
      <c r="F854" s="91" t="s">
        <v>22</v>
      </c>
      <c r="G854" s="80" t="s">
        <v>12</v>
      </c>
      <c r="H854" s="80" t="s">
        <v>22</v>
      </c>
      <c r="I854" s="91" t="s">
        <v>5873</v>
      </c>
      <c r="J854" s="80" t="s">
        <v>43</v>
      </c>
      <c r="K854" s="91" t="s">
        <v>5873</v>
      </c>
      <c r="L854" s="92" t="s">
        <v>5874</v>
      </c>
      <c r="M854" s="83">
        <f t="shared" si="1"/>
        <v>480</v>
      </c>
      <c r="N854" s="84"/>
      <c r="O854" s="84">
        <v>480.0</v>
      </c>
      <c r="P854" s="84"/>
      <c r="Q854" s="94">
        <v>7163.0</v>
      </c>
      <c r="R854" s="94">
        <v>3857.0</v>
      </c>
      <c r="S854" s="95" t="s">
        <v>314</v>
      </c>
      <c r="T854" s="94">
        <v>3.0</v>
      </c>
      <c r="U854" s="96">
        <v>40268.0</v>
      </c>
      <c r="V854" s="97" t="s">
        <v>5875</v>
      </c>
      <c r="W854" s="97" t="s">
        <v>5876</v>
      </c>
      <c r="X854" s="79" t="s">
        <v>5877</v>
      </c>
      <c r="Y854" s="98"/>
      <c r="Z854" s="98"/>
      <c r="AA854" s="98"/>
      <c r="AB854" s="98"/>
      <c r="AC854" s="98"/>
      <c r="AD854" s="98"/>
      <c r="AE854" s="98"/>
      <c r="AF854" s="98"/>
      <c r="AG854" s="98"/>
      <c r="AH854" s="98"/>
      <c r="AI854" s="98"/>
      <c r="AJ854" s="98"/>
      <c r="AK854" s="98"/>
      <c r="AL854" s="98"/>
      <c r="AM854" s="98"/>
      <c r="AN854" s="98"/>
      <c r="AO854" s="98"/>
      <c r="AP854" s="98"/>
      <c r="AQ854" s="98"/>
      <c r="AR854" s="98"/>
    </row>
    <row r="855" ht="20.25" customHeight="1">
      <c r="A855" s="79">
        <v>844.0</v>
      </c>
      <c r="B855" s="91" t="s">
        <v>39</v>
      </c>
      <c r="C855" s="91" t="s">
        <v>5848</v>
      </c>
      <c r="D855" s="91" t="s">
        <v>5871</v>
      </c>
      <c r="E855" s="92" t="s">
        <v>5878</v>
      </c>
      <c r="F855" s="91" t="s">
        <v>22</v>
      </c>
      <c r="G855" s="80" t="s">
        <v>12</v>
      </c>
      <c r="H855" s="80" t="s">
        <v>22</v>
      </c>
      <c r="I855" s="91" t="s">
        <v>5879</v>
      </c>
      <c r="J855" s="80" t="s">
        <v>43</v>
      </c>
      <c r="K855" s="91" t="s">
        <v>5879</v>
      </c>
      <c r="L855" s="92" t="s">
        <v>5880</v>
      </c>
      <c r="M855" s="83">
        <f t="shared" si="1"/>
        <v>58</v>
      </c>
      <c r="N855" s="84"/>
      <c r="O855" s="84">
        <v>58.0</v>
      </c>
      <c r="P855" s="84"/>
      <c r="Q855" s="94">
        <v>5712.0</v>
      </c>
      <c r="R855" s="94">
        <v>967.0</v>
      </c>
      <c r="S855" s="95" t="s">
        <v>291</v>
      </c>
      <c r="T855" s="94">
        <v>1.0</v>
      </c>
      <c r="U855" s="96">
        <v>41374.0</v>
      </c>
      <c r="V855" s="97" t="s">
        <v>5881</v>
      </c>
      <c r="W855" s="97" t="s">
        <v>5881</v>
      </c>
      <c r="X855" s="79" t="s">
        <v>5882</v>
      </c>
      <c r="Y855" s="98"/>
      <c r="Z855" s="98"/>
      <c r="AA855" s="98"/>
      <c r="AB855" s="98"/>
      <c r="AC855" s="98"/>
      <c r="AD855" s="98"/>
      <c r="AE855" s="98"/>
      <c r="AF855" s="98"/>
      <c r="AG855" s="98"/>
      <c r="AH855" s="98"/>
      <c r="AI855" s="98"/>
      <c r="AJ855" s="98"/>
      <c r="AK855" s="98"/>
      <c r="AL855" s="98"/>
      <c r="AM855" s="98"/>
      <c r="AN855" s="98"/>
      <c r="AO855" s="98"/>
      <c r="AP855" s="98"/>
      <c r="AQ855" s="98"/>
      <c r="AR855" s="98"/>
    </row>
    <row r="856" ht="20.25" customHeight="1">
      <c r="A856" s="79">
        <v>845.0</v>
      </c>
      <c r="B856" s="91" t="s">
        <v>39</v>
      </c>
      <c r="C856" s="91" t="s">
        <v>5848</v>
      </c>
      <c r="D856" s="91" t="s">
        <v>5871</v>
      </c>
      <c r="E856" s="92" t="s">
        <v>5883</v>
      </c>
      <c r="F856" s="91" t="s">
        <v>22</v>
      </c>
      <c r="G856" s="80" t="s">
        <v>12</v>
      </c>
      <c r="H856" s="80" t="s">
        <v>22</v>
      </c>
      <c r="I856" s="91" t="s">
        <v>5884</v>
      </c>
      <c r="J856" s="80" t="s">
        <v>43</v>
      </c>
      <c r="K856" s="91" t="s">
        <v>5884</v>
      </c>
      <c r="L856" s="92" t="s">
        <v>5885</v>
      </c>
      <c r="M856" s="83">
        <f t="shared" si="1"/>
        <v>72</v>
      </c>
      <c r="N856" s="84"/>
      <c r="O856" s="84">
        <v>72.0</v>
      </c>
      <c r="P856" s="84"/>
      <c r="Q856" s="94">
        <v>5163.0</v>
      </c>
      <c r="R856" s="94">
        <v>855.0</v>
      </c>
      <c r="S856" s="95" t="s">
        <v>350</v>
      </c>
      <c r="T856" s="94">
        <v>2.0</v>
      </c>
      <c r="U856" s="96">
        <v>42530.0</v>
      </c>
      <c r="V856" s="97" t="s">
        <v>5886</v>
      </c>
      <c r="W856" s="97" t="s">
        <v>5887</v>
      </c>
      <c r="X856" s="79"/>
      <c r="Y856" s="98"/>
      <c r="Z856" s="98"/>
      <c r="AA856" s="98"/>
      <c r="AB856" s="98"/>
      <c r="AC856" s="98"/>
      <c r="AD856" s="98"/>
      <c r="AE856" s="98"/>
      <c r="AF856" s="98"/>
      <c r="AG856" s="98"/>
      <c r="AH856" s="98"/>
      <c r="AI856" s="98"/>
      <c r="AJ856" s="98"/>
      <c r="AK856" s="98"/>
      <c r="AL856" s="98"/>
      <c r="AM856" s="98"/>
      <c r="AN856" s="98"/>
      <c r="AO856" s="98"/>
      <c r="AP856" s="98"/>
      <c r="AQ856" s="98"/>
      <c r="AR856" s="98"/>
    </row>
    <row r="857" ht="20.25" customHeight="1">
      <c r="A857" s="79">
        <v>846.0</v>
      </c>
      <c r="B857" s="91" t="s">
        <v>39</v>
      </c>
      <c r="C857" s="91" t="s">
        <v>5848</v>
      </c>
      <c r="D857" s="91" t="s">
        <v>5888</v>
      </c>
      <c r="E857" s="92" t="s">
        <v>5889</v>
      </c>
      <c r="F857" s="91" t="s">
        <v>22</v>
      </c>
      <c r="G857" s="80" t="s">
        <v>12</v>
      </c>
      <c r="H857" s="80" t="s">
        <v>22</v>
      </c>
      <c r="I857" s="91" t="s">
        <v>5890</v>
      </c>
      <c r="J857" s="80" t="s">
        <v>43</v>
      </c>
      <c r="K857" s="91" t="s">
        <v>5891</v>
      </c>
      <c r="L857" s="92" t="s">
        <v>5892</v>
      </c>
      <c r="M857" s="83">
        <f t="shared" si="1"/>
        <v>498</v>
      </c>
      <c r="N857" s="84"/>
      <c r="O857" s="84">
        <v>498.0</v>
      </c>
      <c r="P857" s="84"/>
      <c r="Q857" s="94">
        <v>9950.0</v>
      </c>
      <c r="R857" s="94">
        <v>6727.0</v>
      </c>
      <c r="S857" s="95" t="s">
        <v>103</v>
      </c>
      <c r="T857" s="94">
        <v>1.0</v>
      </c>
      <c r="U857" s="96">
        <v>38800.0</v>
      </c>
      <c r="V857" s="97" t="s">
        <v>5893</v>
      </c>
      <c r="W857" s="97" t="s">
        <v>5894</v>
      </c>
      <c r="X857" s="79"/>
      <c r="Y857" s="98"/>
      <c r="Z857" s="98"/>
      <c r="AA857" s="98"/>
      <c r="AB857" s="98"/>
      <c r="AC857" s="98"/>
      <c r="AD857" s="98"/>
      <c r="AE857" s="98"/>
      <c r="AF857" s="98"/>
      <c r="AG857" s="98"/>
      <c r="AH857" s="98"/>
      <c r="AI857" s="98"/>
      <c r="AJ857" s="98"/>
      <c r="AK857" s="98"/>
      <c r="AL857" s="98"/>
      <c r="AM857" s="98"/>
      <c r="AN857" s="98"/>
      <c r="AO857" s="98"/>
      <c r="AP857" s="98"/>
      <c r="AQ857" s="98"/>
      <c r="AR857" s="98"/>
    </row>
    <row r="858" ht="20.25" customHeight="1">
      <c r="A858" s="79">
        <v>847.0</v>
      </c>
      <c r="B858" s="91" t="s">
        <v>39</v>
      </c>
      <c r="C858" s="91" t="s">
        <v>5848</v>
      </c>
      <c r="D858" s="91" t="s">
        <v>5888</v>
      </c>
      <c r="E858" s="92" t="s">
        <v>5895</v>
      </c>
      <c r="F858" s="91" t="s">
        <v>22</v>
      </c>
      <c r="G858" s="80" t="s">
        <v>12</v>
      </c>
      <c r="H858" s="80" t="s">
        <v>22</v>
      </c>
      <c r="I858" s="91" t="s">
        <v>5896</v>
      </c>
      <c r="J858" s="80" t="s">
        <v>43</v>
      </c>
      <c r="K858" s="91" t="s">
        <v>5897</v>
      </c>
      <c r="L858" s="92" t="s">
        <v>5898</v>
      </c>
      <c r="M858" s="83">
        <f t="shared" si="1"/>
        <v>490</v>
      </c>
      <c r="N858" s="84"/>
      <c r="O858" s="84">
        <v>490.0</v>
      </c>
      <c r="P858" s="84"/>
      <c r="Q858" s="94">
        <v>9980.0</v>
      </c>
      <c r="R858" s="94">
        <v>6038.0</v>
      </c>
      <c r="S858" s="95" t="s">
        <v>103</v>
      </c>
      <c r="T858" s="94">
        <v>3.0</v>
      </c>
      <c r="U858" s="96">
        <v>40490.0</v>
      </c>
      <c r="V858" s="97" t="s">
        <v>5899</v>
      </c>
      <c r="W858" s="97" t="s">
        <v>5900</v>
      </c>
      <c r="X858" s="79" t="s">
        <v>5901</v>
      </c>
      <c r="Y858" s="98"/>
      <c r="Z858" s="98"/>
      <c r="AA858" s="98"/>
      <c r="AB858" s="98"/>
      <c r="AC858" s="98"/>
      <c r="AD858" s="98"/>
      <c r="AE858" s="98"/>
      <c r="AF858" s="98"/>
      <c r="AG858" s="98"/>
      <c r="AH858" s="98"/>
      <c r="AI858" s="98"/>
      <c r="AJ858" s="98"/>
      <c r="AK858" s="98"/>
      <c r="AL858" s="98"/>
      <c r="AM858" s="98"/>
      <c r="AN858" s="98"/>
      <c r="AO858" s="98"/>
      <c r="AP858" s="98"/>
      <c r="AQ858" s="98"/>
      <c r="AR858" s="98"/>
    </row>
    <row r="859" ht="20.25" customHeight="1">
      <c r="A859" s="79">
        <v>848.0</v>
      </c>
      <c r="B859" s="91" t="s">
        <v>39</v>
      </c>
      <c r="C859" s="91" t="s">
        <v>5848</v>
      </c>
      <c r="D859" s="91" t="s">
        <v>5902</v>
      </c>
      <c r="E859" s="92" t="s">
        <v>5903</v>
      </c>
      <c r="F859" s="91" t="s">
        <v>1807</v>
      </c>
      <c r="G859" s="80" t="s">
        <v>46</v>
      </c>
      <c r="H859" s="80" t="s">
        <v>21</v>
      </c>
      <c r="I859" s="91" t="s">
        <v>5711</v>
      </c>
      <c r="J859" s="80" t="s">
        <v>45</v>
      </c>
      <c r="K859" s="91" t="s">
        <v>5851</v>
      </c>
      <c r="L859" s="92" t="s">
        <v>5904</v>
      </c>
      <c r="M859" s="83">
        <f t="shared" si="1"/>
        <v>286</v>
      </c>
      <c r="N859" s="84"/>
      <c r="O859" s="84">
        <v>286.0</v>
      </c>
      <c r="P859" s="84"/>
      <c r="Q859" s="94">
        <v>8950.0</v>
      </c>
      <c r="R859" s="94">
        <v>3144.0</v>
      </c>
      <c r="S859" s="95" t="s">
        <v>5905</v>
      </c>
      <c r="T859" s="94">
        <v>4.0</v>
      </c>
      <c r="U859" s="96">
        <v>33939.0</v>
      </c>
      <c r="V859" s="97" t="s">
        <v>5854</v>
      </c>
      <c r="W859" s="97" t="s">
        <v>5855</v>
      </c>
      <c r="X859" s="79"/>
      <c r="Y859" s="98"/>
      <c r="Z859" s="98"/>
      <c r="AA859" s="98"/>
      <c r="AB859" s="98"/>
      <c r="AC859" s="98"/>
      <c r="AD859" s="98"/>
      <c r="AE859" s="98"/>
      <c r="AF859" s="98"/>
      <c r="AG859" s="98"/>
      <c r="AH859" s="98"/>
      <c r="AI859" s="98"/>
      <c r="AJ859" s="98"/>
      <c r="AK859" s="98"/>
      <c r="AL859" s="98"/>
      <c r="AM859" s="98"/>
      <c r="AN859" s="98"/>
      <c r="AO859" s="98"/>
      <c r="AP859" s="98"/>
      <c r="AQ859" s="98"/>
      <c r="AR859" s="98"/>
    </row>
    <row r="860" ht="20.25" customHeight="1">
      <c r="A860" s="79">
        <v>849.0</v>
      </c>
      <c r="B860" s="91" t="s">
        <v>39</v>
      </c>
      <c r="C860" s="91" t="s">
        <v>5848</v>
      </c>
      <c r="D860" s="91" t="s">
        <v>5862</v>
      </c>
      <c r="E860" s="92" t="s">
        <v>5906</v>
      </c>
      <c r="F860" s="91" t="s">
        <v>1807</v>
      </c>
      <c r="G860" s="80" t="s">
        <v>46</v>
      </c>
      <c r="H860" s="80" t="s">
        <v>21</v>
      </c>
      <c r="I860" s="91" t="s">
        <v>5711</v>
      </c>
      <c r="J860" s="80" t="s">
        <v>45</v>
      </c>
      <c r="K860" s="91" t="s">
        <v>5907</v>
      </c>
      <c r="L860" s="92" t="s">
        <v>5908</v>
      </c>
      <c r="M860" s="83">
        <f t="shared" si="1"/>
        <v>416</v>
      </c>
      <c r="N860" s="84"/>
      <c r="O860" s="84">
        <v>416.0</v>
      </c>
      <c r="P860" s="84"/>
      <c r="Q860" s="94">
        <v>196144.0</v>
      </c>
      <c r="R860" s="94">
        <v>6408.0</v>
      </c>
      <c r="S860" s="95" t="s">
        <v>103</v>
      </c>
      <c r="T860" s="94">
        <v>4.0</v>
      </c>
      <c r="U860" s="96">
        <v>34408.0</v>
      </c>
      <c r="V860" s="97" t="s">
        <v>5909</v>
      </c>
      <c r="W860" s="97" t="s">
        <v>5910</v>
      </c>
      <c r="X860" s="79" t="s">
        <v>5911</v>
      </c>
      <c r="Y860" s="98"/>
      <c r="Z860" s="98"/>
      <c r="AA860" s="98"/>
      <c r="AB860" s="98"/>
      <c r="AC860" s="98"/>
      <c r="AD860" s="98"/>
      <c r="AE860" s="98"/>
      <c r="AF860" s="98"/>
      <c r="AG860" s="98"/>
      <c r="AH860" s="98"/>
      <c r="AI860" s="98"/>
      <c r="AJ860" s="98"/>
      <c r="AK860" s="98"/>
      <c r="AL860" s="98"/>
      <c r="AM860" s="98"/>
      <c r="AN860" s="98"/>
      <c r="AO860" s="98"/>
      <c r="AP860" s="98"/>
      <c r="AQ860" s="98"/>
      <c r="AR860" s="98"/>
    </row>
    <row r="861" ht="20.25" customHeight="1">
      <c r="A861" s="79">
        <v>850.0</v>
      </c>
      <c r="B861" s="91" t="s">
        <v>39</v>
      </c>
      <c r="C861" s="91" t="s">
        <v>5848</v>
      </c>
      <c r="D861" s="91" t="s">
        <v>5888</v>
      </c>
      <c r="E861" s="92" t="s">
        <v>5912</v>
      </c>
      <c r="F861" s="91" t="s">
        <v>22</v>
      </c>
      <c r="G861" s="80" t="s">
        <v>12</v>
      </c>
      <c r="H861" s="80" t="s">
        <v>22</v>
      </c>
      <c r="I861" s="91" t="s">
        <v>5913</v>
      </c>
      <c r="J861" s="80" t="s">
        <v>43</v>
      </c>
      <c r="K861" s="91" t="s">
        <v>5912</v>
      </c>
      <c r="L861" s="92" t="s">
        <v>5914</v>
      </c>
      <c r="M861" s="83">
        <f t="shared" si="1"/>
        <v>376</v>
      </c>
      <c r="N861" s="84"/>
      <c r="O861" s="84">
        <v>376.0</v>
      </c>
      <c r="P861" s="84"/>
      <c r="Q861" s="94">
        <v>12300.0</v>
      </c>
      <c r="R861" s="94">
        <v>3532.0</v>
      </c>
      <c r="S861" s="95" t="s">
        <v>350</v>
      </c>
      <c r="T861" s="94">
        <v>6.0</v>
      </c>
      <c r="U861" s="96">
        <v>39275.0</v>
      </c>
      <c r="V861" s="97" t="s">
        <v>5915</v>
      </c>
      <c r="W861" s="97" t="s">
        <v>5916</v>
      </c>
      <c r="X861" s="79" t="s">
        <v>5917</v>
      </c>
      <c r="Y861" s="98"/>
      <c r="Z861" s="98"/>
      <c r="AA861" s="98"/>
      <c r="AB861" s="98"/>
      <c r="AC861" s="98"/>
      <c r="AD861" s="98"/>
      <c r="AE861" s="98"/>
      <c r="AF861" s="98"/>
      <c r="AG861" s="98"/>
      <c r="AH861" s="98"/>
      <c r="AI861" s="98"/>
      <c r="AJ861" s="98"/>
      <c r="AK861" s="98"/>
      <c r="AL861" s="98"/>
      <c r="AM861" s="98"/>
      <c r="AN861" s="98"/>
      <c r="AO861" s="98"/>
      <c r="AP861" s="98"/>
      <c r="AQ861" s="98"/>
      <c r="AR861" s="98"/>
    </row>
    <row r="862" ht="20.25" customHeight="1">
      <c r="A862" s="79">
        <v>851.0</v>
      </c>
      <c r="B862" s="91" t="s">
        <v>39</v>
      </c>
      <c r="C862" s="91" t="s">
        <v>5848</v>
      </c>
      <c r="D862" s="139" t="s">
        <v>5871</v>
      </c>
      <c r="E862" s="92" t="s">
        <v>5918</v>
      </c>
      <c r="F862" s="139" t="s">
        <v>1807</v>
      </c>
      <c r="G862" s="80" t="s">
        <v>12</v>
      </c>
      <c r="H862" s="80" t="s">
        <v>21</v>
      </c>
      <c r="I862" s="139" t="s">
        <v>5711</v>
      </c>
      <c r="J862" s="80" t="s">
        <v>43</v>
      </c>
      <c r="K862" s="139" t="s">
        <v>5919</v>
      </c>
      <c r="L862" s="92" t="s">
        <v>5920</v>
      </c>
      <c r="M862" s="83">
        <f t="shared" si="1"/>
        <v>126</v>
      </c>
      <c r="N862" s="84"/>
      <c r="O862" s="84">
        <v>126.0</v>
      </c>
      <c r="P862" s="84"/>
      <c r="Q862" s="94">
        <v>17764.0</v>
      </c>
      <c r="R862" s="94">
        <v>1781.22</v>
      </c>
      <c r="S862" s="95" t="s">
        <v>5921</v>
      </c>
      <c r="T862" s="94">
        <v>11.0</v>
      </c>
      <c r="U862" s="96">
        <v>43676.0</v>
      </c>
      <c r="V862" s="97" t="s">
        <v>5922</v>
      </c>
      <c r="W862" s="97" t="s">
        <v>5923</v>
      </c>
      <c r="X862" s="79" t="s">
        <v>5924</v>
      </c>
      <c r="Y862" s="98"/>
      <c r="Z862" s="98"/>
      <c r="AA862" s="98"/>
      <c r="AB862" s="98"/>
      <c r="AC862" s="98"/>
      <c r="AD862" s="98"/>
      <c r="AE862" s="98"/>
      <c r="AF862" s="98"/>
      <c r="AG862" s="98"/>
      <c r="AH862" s="98"/>
      <c r="AI862" s="98"/>
      <c r="AJ862" s="98"/>
      <c r="AK862" s="98"/>
      <c r="AL862" s="98"/>
      <c r="AM862" s="98"/>
      <c r="AN862" s="98"/>
      <c r="AO862" s="98"/>
      <c r="AP862" s="98"/>
      <c r="AQ862" s="98"/>
      <c r="AR862" s="98"/>
    </row>
    <row r="863" ht="20.25" customHeight="1">
      <c r="A863" s="79">
        <v>852.0</v>
      </c>
      <c r="B863" s="91" t="s">
        <v>39</v>
      </c>
      <c r="C863" s="91" t="s">
        <v>5848</v>
      </c>
      <c r="D863" s="91" t="s">
        <v>5902</v>
      </c>
      <c r="E863" s="92" t="s">
        <v>5925</v>
      </c>
      <c r="F863" s="91" t="s">
        <v>1807</v>
      </c>
      <c r="G863" s="80" t="s">
        <v>44</v>
      </c>
      <c r="H863" s="80" t="s">
        <v>21</v>
      </c>
      <c r="I863" s="91" t="s">
        <v>5711</v>
      </c>
      <c r="J863" s="80" t="s">
        <v>43</v>
      </c>
      <c r="K863" s="91" t="s">
        <v>5851</v>
      </c>
      <c r="L863" s="92" t="s">
        <v>5926</v>
      </c>
      <c r="M863" s="83">
        <f t="shared" si="1"/>
        <v>104</v>
      </c>
      <c r="N863" s="84">
        <v>104.0</v>
      </c>
      <c r="O863" s="84"/>
      <c r="P863" s="84"/>
      <c r="Q863" s="94">
        <v>2178.0</v>
      </c>
      <c r="R863" s="94">
        <v>730.13</v>
      </c>
      <c r="S863" s="95" t="s">
        <v>350</v>
      </c>
      <c r="T863" s="94">
        <v>1.0</v>
      </c>
      <c r="U863" s="96">
        <v>41729.0</v>
      </c>
      <c r="V863" s="97" t="s">
        <v>5927</v>
      </c>
      <c r="W863" s="97" t="s">
        <v>5928</v>
      </c>
      <c r="X863" s="79" t="s">
        <v>5861</v>
      </c>
      <c r="Y863" s="98"/>
      <c r="Z863" s="98"/>
      <c r="AA863" s="98"/>
      <c r="AB863" s="98"/>
      <c r="AC863" s="98"/>
      <c r="AD863" s="98"/>
      <c r="AE863" s="98"/>
      <c r="AF863" s="98"/>
      <c r="AG863" s="98"/>
      <c r="AH863" s="98"/>
      <c r="AI863" s="98"/>
      <c r="AJ863" s="98"/>
      <c r="AK863" s="98"/>
      <c r="AL863" s="98"/>
      <c r="AM863" s="98"/>
      <c r="AN863" s="98"/>
      <c r="AO863" s="98"/>
      <c r="AP863" s="98"/>
      <c r="AQ863" s="98"/>
      <c r="AR863" s="98"/>
    </row>
    <row r="864" ht="20.25" customHeight="1">
      <c r="A864" s="79">
        <v>853.0</v>
      </c>
      <c r="B864" s="91" t="s">
        <v>39</v>
      </c>
      <c r="C864" s="91" t="s">
        <v>5848</v>
      </c>
      <c r="D864" s="91" t="s">
        <v>5592</v>
      </c>
      <c r="E864" s="92" t="s">
        <v>5929</v>
      </c>
      <c r="F864" s="91" t="s">
        <v>1807</v>
      </c>
      <c r="G864" s="80" t="s">
        <v>44</v>
      </c>
      <c r="H864" s="80" t="s">
        <v>21</v>
      </c>
      <c r="I864" s="91" t="s">
        <v>5711</v>
      </c>
      <c r="J864" s="80" t="s">
        <v>43</v>
      </c>
      <c r="K864" s="91" t="s">
        <v>5851</v>
      </c>
      <c r="L864" s="92" t="s">
        <v>5930</v>
      </c>
      <c r="M864" s="83">
        <f t="shared" si="1"/>
        <v>137</v>
      </c>
      <c r="N864" s="84">
        <v>137.0</v>
      </c>
      <c r="O864" s="84"/>
      <c r="P864" s="84"/>
      <c r="Q864" s="94">
        <v>660.0</v>
      </c>
      <c r="R864" s="94">
        <v>822.0</v>
      </c>
      <c r="S864" s="95" t="s">
        <v>291</v>
      </c>
      <c r="T864" s="94">
        <v>1.0</v>
      </c>
      <c r="U864" s="96">
        <v>38050.0</v>
      </c>
      <c r="V864" s="97" t="s">
        <v>5931</v>
      </c>
      <c r="W864" s="97" t="s">
        <v>5932</v>
      </c>
      <c r="X864" s="79" t="s">
        <v>5861</v>
      </c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  <c r="AI864" s="57"/>
      <c r="AJ864" s="57"/>
      <c r="AK864" s="57"/>
      <c r="AL864" s="57"/>
      <c r="AM864" s="57"/>
      <c r="AN864" s="57"/>
      <c r="AO864" s="57"/>
      <c r="AP864" s="57"/>
      <c r="AQ864" s="57"/>
      <c r="AR864" s="57"/>
    </row>
    <row r="865" ht="20.25" customHeight="1">
      <c r="A865" s="79">
        <v>854.0</v>
      </c>
      <c r="B865" s="91" t="s">
        <v>39</v>
      </c>
      <c r="C865" s="91" t="s">
        <v>5848</v>
      </c>
      <c r="D865" s="91" t="s">
        <v>5933</v>
      </c>
      <c r="E865" s="92" t="s">
        <v>5934</v>
      </c>
      <c r="F865" s="91" t="s">
        <v>1807</v>
      </c>
      <c r="G865" s="80" t="s">
        <v>44</v>
      </c>
      <c r="H865" s="80" t="s">
        <v>21</v>
      </c>
      <c r="I865" s="91" t="s">
        <v>5711</v>
      </c>
      <c r="J865" s="80" t="s">
        <v>43</v>
      </c>
      <c r="K865" s="91" t="s">
        <v>5851</v>
      </c>
      <c r="L865" s="92" t="s">
        <v>5935</v>
      </c>
      <c r="M865" s="83">
        <f t="shared" si="1"/>
        <v>92</v>
      </c>
      <c r="N865" s="84">
        <v>92.0</v>
      </c>
      <c r="O865" s="84"/>
      <c r="P865" s="84"/>
      <c r="Q865" s="94">
        <v>2159.0</v>
      </c>
      <c r="R865" s="94">
        <v>625.0</v>
      </c>
      <c r="S865" s="95" t="s">
        <v>291</v>
      </c>
      <c r="T865" s="94">
        <v>1.0</v>
      </c>
      <c r="U865" s="96">
        <v>36917.0</v>
      </c>
      <c r="V865" s="97" t="s">
        <v>5936</v>
      </c>
      <c r="W865" s="97" t="s">
        <v>5937</v>
      </c>
      <c r="X865" s="79" t="s">
        <v>5861</v>
      </c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  <c r="AK865" s="57"/>
      <c r="AL865" s="57"/>
      <c r="AM865" s="57"/>
      <c r="AN865" s="57"/>
      <c r="AO865" s="57"/>
      <c r="AP865" s="57"/>
      <c r="AQ865" s="57"/>
      <c r="AR865" s="57"/>
    </row>
    <row r="866" ht="20.25" customHeight="1">
      <c r="A866" s="79">
        <v>855.0</v>
      </c>
      <c r="B866" s="91" t="s">
        <v>39</v>
      </c>
      <c r="C866" s="91" t="s">
        <v>5848</v>
      </c>
      <c r="D866" s="91" t="s">
        <v>5938</v>
      </c>
      <c r="E866" s="92" t="s">
        <v>5939</v>
      </c>
      <c r="F866" s="91" t="s">
        <v>1807</v>
      </c>
      <c r="G866" s="80" t="s">
        <v>44</v>
      </c>
      <c r="H866" s="80" t="s">
        <v>21</v>
      </c>
      <c r="I866" s="91" t="s">
        <v>5940</v>
      </c>
      <c r="J866" s="80" t="s">
        <v>43</v>
      </c>
      <c r="K866" s="91" t="s">
        <v>5851</v>
      </c>
      <c r="L866" s="92" t="s">
        <v>5941</v>
      </c>
      <c r="M866" s="83">
        <f t="shared" si="1"/>
        <v>99</v>
      </c>
      <c r="N866" s="84">
        <v>99.0</v>
      </c>
      <c r="O866" s="84"/>
      <c r="P866" s="84"/>
      <c r="Q866" s="94">
        <v>815.0</v>
      </c>
      <c r="R866" s="94">
        <v>507.0</v>
      </c>
      <c r="S866" s="95" t="s">
        <v>5942</v>
      </c>
      <c r="T866" s="94">
        <v>1.0</v>
      </c>
      <c r="U866" s="96">
        <v>37314.0</v>
      </c>
      <c r="V866" s="97" t="s">
        <v>5943</v>
      </c>
      <c r="W866" s="97" t="s">
        <v>5944</v>
      </c>
      <c r="X866" s="79" t="s">
        <v>5861</v>
      </c>
      <c r="Y866" s="98"/>
      <c r="Z866" s="98"/>
      <c r="AA866" s="98"/>
      <c r="AB866" s="98"/>
      <c r="AC866" s="98"/>
      <c r="AD866" s="98"/>
      <c r="AE866" s="98"/>
      <c r="AF866" s="98"/>
      <c r="AG866" s="98"/>
      <c r="AH866" s="98"/>
      <c r="AI866" s="98"/>
      <c r="AJ866" s="98"/>
      <c r="AK866" s="98"/>
      <c r="AL866" s="98"/>
      <c r="AM866" s="98"/>
      <c r="AN866" s="98"/>
      <c r="AO866" s="98"/>
      <c r="AP866" s="98"/>
      <c r="AQ866" s="98"/>
      <c r="AR866" s="98"/>
    </row>
    <row r="867" ht="20.25" customHeight="1">
      <c r="A867" s="79">
        <v>856.0</v>
      </c>
      <c r="B867" s="91" t="s">
        <v>39</v>
      </c>
      <c r="C867" s="91" t="s">
        <v>5848</v>
      </c>
      <c r="D867" s="91" t="s">
        <v>5945</v>
      </c>
      <c r="E867" s="92" t="s">
        <v>5946</v>
      </c>
      <c r="F867" s="91" t="s">
        <v>1807</v>
      </c>
      <c r="G867" s="80" t="s">
        <v>44</v>
      </c>
      <c r="H867" s="80" t="s">
        <v>21</v>
      </c>
      <c r="I867" s="91" t="s">
        <v>5711</v>
      </c>
      <c r="J867" s="80" t="s">
        <v>43</v>
      </c>
      <c r="K867" s="91" t="s">
        <v>5851</v>
      </c>
      <c r="L867" s="92" t="s">
        <v>5947</v>
      </c>
      <c r="M867" s="83">
        <f t="shared" si="1"/>
        <v>70</v>
      </c>
      <c r="N867" s="84">
        <v>70.0</v>
      </c>
      <c r="O867" s="84"/>
      <c r="P867" s="84"/>
      <c r="Q867" s="94">
        <v>3747.0</v>
      </c>
      <c r="R867" s="94">
        <v>200.0</v>
      </c>
      <c r="S867" s="95" t="s">
        <v>5948</v>
      </c>
      <c r="T867" s="94">
        <v>1.0</v>
      </c>
      <c r="U867" s="96">
        <v>37645.0</v>
      </c>
      <c r="V867" s="97" t="s">
        <v>5949</v>
      </c>
      <c r="W867" s="97" t="s">
        <v>5950</v>
      </c>
      <c r="X867" s="79" t="s">
        <v>5861</v>
      </c>
      <c r="Y867" s="98"/>
      <c r="Z867" s="98"/>
      <c r="AA867" s="98"/>
      <c r="AB867" s="98"/>
      <c r="AC867" s="98"/>
      <c r="AD867" s="98"/>
      <c r="AE867" s="98"/>
      <c r="AF867" s="98"/>
      <c r="AG867" s="98"/>
      <c r="AH867" s="98"/>
      <c r="AI867" s="98"/>
      <c r="AJ867" s="98"/>
      <c r="AK867" s="98"/>
      <c r="AL867" s="98"/>
      <c r="AM867" s="98"/>
      <c r="AN867" s="98"/>
      <c r="AO867" s="98"/>
      <c r="AP867" s="98"/>
      <c r="AQ867" s="98"/>
      <c r="AR867" s="98"/>
    </row>
    <row r="868" ht="20.25" customHeight="1">
      <c r="A868" s="79">
        <v>857.0</v>
      </c>
      <c r="B868" s="91" t="s">
        <v>39</v>
      </c>
      <c r="C868" s="91" t="s">
        <v>5848</v>
      </c>
      <c r="D868" s="91" t="s">
        <v>5951</v>
      </c>
      <c r="E868" s="92" t="s">
        <v>5952</v>
      </c>
      <c r="F868" s="91" t="s">
        <v>1807</v>
      </c>
      <c r="G868" s="80" t="s">
        <v>44</v>
      </c>
      <c r="H868" s="80" t="s">
        <v>21</v>
      </c>
      <c r="I868" s="91" t="s">
        <v>5711</v>
      </c>
      <c r="J868" s="80" t="s">
        <v>43</v>
      </c>
      <c r="K868" s="91" t="s">
        <v>5851</v>
      </c>
      <c r="L868" s="92" t="s">
        <v>5953</v>
      </c>
      <c r="M868" s="83">
        <f t="shared" si="1"/>
        <v>167</v>
      </c>
      <c r="N868" s="84">
        <v>167.0</v>
      </c>
      <c r="O868" s="84"/>
      <c r="P868" s="84"/>
      <c r="Q868" s="94">
        <v>873.0</v>
      </c>
      <c r="R868" s="94">
        <v>796.0</v>
      </c>
      <c r="S868" s="95" t="s">
        <v>5954</v>
      </c>
      <c r="T868" s="94">
        <v>1.0</v>
      </c>
      <c r="U868" s="96">
        <v>37602.0</v>
      </c>
      <c r="V868" s="97" t="s">
        <v>5955</v>
      </c>
      <c r="W868" s="97" t="s">
        <v>5956</v>
      </c>
      <c r="X868" s="79" t="s">
        <v>5861</v>
      </c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  <c r="AI868" s="57"/>
      <c r="AJ868" s="57"/>
      <c r="AK868" s="57"/>
      <c r="AL868" s="57"/>
      <c r="AM868" s="57"/>
      <c r="AN868" s="57"/>
      <c r="AO868" s="57"/>
      <c r="AP868" s="57"/>
      <c r="AQ868" s="57"/>
      <c r="AR868" s="57"/>
    </row>
    <row r="869" ht="20.25" customHeight="1">
      <c r="A869" s="79">
        <v>858.0</v>
      </c>
      <c r="B869" s="91" t="s">
        <v>39</v>
      </c>
      <c r="C869" s="91" t="s">
        <v>5848</v>
      </c>
      <c r="D869" s="91" t="s">
        <v>5957</v>
      </c>
      <c r="E869" s="92" t="s">
        <v>5958</v>
      </c>
      <c r="F869" s="91" t="s">
        <v>1807</v>
      </c>
      <c r="G869" s="80" t="s">
        <v>44</v>
      </c>
      <c r="H869" s="80" t="s">
        <v>21</v>
      </c>
      <c r="I869" s="91" t="s">
        <v>5711</v>
      </c>
      <c r="J869" s="80" t="s">
        <v>43</v>
      </c>
      <c r="K869" s="91" t="s">
        <v>5851</v>
      </c>
      <c r="L869" s="92" t="s">
        <v>5959</v>
      </c>
      <c r="M869" s="83">
        <f t="shared" si="1"/>
        <v>70</v>
      </c>
      <c r="N869" s="84">
        <v>70.0</v>
      </c>
      <c r="O869" s="84"/>
      <c r="P869" s="84"/>
      <c r="Q869" s="94">
        <v>921.0</v>
      </c>
      <c r="R869" s="94">
        <v>343.0</v>
      </c>
      <c r="S869" s="95" t="s">
        <v>350</v>
      </c>
      <c r="T869" s="94">
        <v>1.0</v>
      </c>
      <c r="U869" s="96">
        <v>37316.0</v>
      </c>
      <c r="V869" s="97" t="s">
        <v>5960</v>
      </c>
      <c r="W869" s="97" t="s">
        <v>5961</v>
      </c>
      <c r="X869" s="79" t="s">
        <v>5861</v>
      </c>
      <c r="Y869" s="98"/>
      <c r="Z869" s="98"/>
      <c r="AA869" s="98"/>
      <c r="AB869" s="98"/>
      <c r="AC869" s="98"/>
      <c r="AD869" s="98"/>
      <c r="AE869" s="98"/>
      <c r="AF869" s="98"/>
      <c r="AG869" s="98"/>
      <c r="AH869" s="98"/>
      <c r="AI869" s="98"/>
      <c r="AJ869" s="98"/>
      <c r="AK869" s="98"/>
      <c r="AL869" s="98"/>
      <c r="AM869" s="98"/>
      <c r="AN869" s="98"/>
      <c r="AO869" s="98"/>
      <c r="AP869" s="98"/>
      <c r="AQ869" s="98"/>
      <c r="AR869" s="98"/>
    </row>
    <row r="870" ht="20.25" customHeight="1">
      <c r="A870" s="79">
        <v>859.0</v>
      </c>
      <c r="B870" s="91" t="s">
        <v>39</v>
      </c>
      <c r="C870" s="91" t="s">
        <v>5848</v>
      </c>
      <c r="D870" s="91" t="s">
        <v>5962</v>
      </c>
      <c r="E870" s="92" t="s">
        <v>5963</v>
      </c>
      <c r="F870" s="91" t="s">
        <v>1807</v>
      </c>
      <c r="G870" s="80" t="s">
        <v>44</v>
      </c>
      <c r="H870" s="80" t="s">
        <v>21</v>
      </c>
      <c r="I870" s="91" t="s">
        <v>5711</v>
      </c>
      <c r="J870" s="80" t="s">
        <v>43</v>
      </c>
      <c r="K870" s="91" t="s">
        <v>5851</v>
      </c>
      <c r="L870" s="92" t="s">
        <v>5964</v>
      </c>
      <c r="M870" s="83">
        <f t="shared" si="1"/>
        <v>126</v>
      </c>
      <c r="N870" s="84">
        <v>126.0</v>
      </c>
      <c r="O870" s="84"/>
      <c r="P870" s="84"/>
      <c r="Q870" s="94">
        <v>5269.0</v>
      </c>
      <c r="R870" s="94">
        <v>666.0</v>
      </c>
      <c r="S870" s="95" t="s">
        <v>291</v>
      </c>
      <c r="T870" s="94">
        <v>1.0</v>
      </c>
      <c r="U870" s="96">
        <v>36598.0</v>
      </c>
      <c r="V870" s="97" t="s">
        <v>5965</v>
      </c>
      <c r="W870" s="97" t="s">
        <v>5966</v>
      </c>
      <c r="X870" s="79" t="s">
        <v>5861</v>
      </c>
      <c r="Y870" s="98"/>
      <c r="Z870" s="98"/>
      <c r="AA870" s="98"/>
      <c r="AB870" s="98"/>
      <c r="AC870" s="98"/>
      <c r="AD870" s="98"/>
      <c r="AE870" s="98"/>
      <c r="AF870" s="98"/>
      <c r="AG870" s="98"/>
      <c r="AH870" s="98"/>
      <c r="AI870" s="98"/>
      <c r="AJ870" s="98"/>
      <c r="AK870" s="98"/>
      <c r="AL870" s="98"/>
      <c r="AM870" s="98"/>
      <c r="AN870" s="98"/>
      <c r="AO870" s="98"/>
      <c r="AP870" s="98"/>
      <c r="AQ870" s="98"/>
      <c r="AR870" s="98"/>
    </row>
    <row r="871" ht="20.25" customHeight="1">
      <c r="A871" s="79">
        <v>860.0</v>
      </c>
      <c r="B871" s="91" t="s">
        <v>39</v>
      </c>
      <c r="C871" s="91" t="s">
        <v>5848</v>
      </c>
      <c r="D871" s="91" t="s">
        <v>5862</v>
      </c>
      <c r="E871" s="92" t="s">
        <v>5967</v>
      </c>
      <c r="F871" s="91" t="s">
        <v>1807</v>
      </c>
      <c r="G871" s="80" t="s">
        <v>44</v>
      </c>
      <c r="H871" s="80" t="s">
        <v>21</v>
      </c>
      <c r="I871" s="91" t="s">
        <v>5711</v>
      </c>
      <c r="J871" s="80" t="s">
        <v>43</v>
      </c>
      <c r="K871" s="91" t="s">
        <v>5851</v>
      </c>
      <c r="L871" s="92" t="s">
        <v>5968</v>
      </c>
      <c r="M871" s="83">
        <f t="shared" si="1"/>
        <v>84</v>
      </c>
      <c r="N871" s="84">
        <v>84.0</v>
      </c>
      <c r="O871" s="84"/>
      <c r="P871" s="84"/>
      <c r="Q871" s="94">
        <v>861.0</v>
      </c>
      <c r="R871" s="94">
        <v>667.0</v>
      </c>
      <c r="S871" s="95" t="s">
        <v>350</v>
      </c>
      <c r="T871" s="94">
        <v>1.0</v>
      </c>
      <c r="U871" s="96">
        <v>40023.0</v>
      </c>
      <c r="V871" s="97" t="s">
        <v>5969</v>
      </c>
      <c r="W871" s="97" t="s">
        <v>5970</v>
      </c>
      <c r="X871" s="79" t="s">
        <v>5861</v>
      </c>
      <c r="Y871" s="98"/>
      <c r="Z871" s="98"/>
      <c r="AA871" s="98"/>
      <c r="AB871" s="98"/>
      <c r="AC871" s="98"/>
      <c r="AD871" s="98"/>
      <c r="AE871" s="98"/>
      <c r="AF871" s="98"/>
      <c r="AG871" s="98"/>
      <c r="AH871" s="98"/>
      <c r="AI871" s="98"/>
      <c r="AJ871" s="98"/>
      <c r="AK871" s="98"/>
      <c r="AL871" s="98"/>
      <c r="AM871" s="98"/>
      <c r="AN871" s="98"/>
      <c r="AO871" s="98"/>
      <c r="AP871" s="98"/>
      <c r="AQ871" s="98"/>
      <c r="AR871" s="98"/>
    </row>
    <row r="872" ht="20.25" customHeight="1">
      <c r="A872" s="79">
        <v>861.0</v>
      </c>
      <c r="B872" s="91" t="s">
        <v>39</v>
      </c>
      <c r="C872" s="91" t="s">
        <v>5848</v>
      </c>
      <c r="D872" s="91" t="s">
        <v>5888</v>
      </c>
      <c r="E872" s="92" t="s">
        <v>5971</v>
      </c>
      <c r="F872" s="91" t="s">
        <v>1807</v>
      </c>
      <c r="G872" s="80" t="s">
        <v>44</v>
      </c>
      <c r="H872" s="80" t="s">
        <v>21</v>
      </c>
      <c r="I872" s="91" t="s">
        <v>5711</v>
      </c>
      <c r="J872" s="80" t="s">
        <v>43</v>
      </c>
      <c r="K872" s="91" t="s">
        <v>5851</v>
      </c>
      <c r="L872" s="92" t="s">
        <v>5972</v>
      </c>
      <c r="M872" s="83">
        <f t="shared" si="1"/>
        <v>96</v>
      </c>
      <c r="N872" s="84">
        <v>96.0</v>
      </c>
      <c r="O872" s="84"/>
      <c r="P872" s="84"/>
      <c r="Q872" s="94">
        <v>2155.0</v>
      </c>
      <c r="R872" s="94">
        <v>744.0</v>
      </c>
      <c r="S872" s="95" t="s">
        <v>314</v>
      </c>
      <c r="T872" s="94">
        <v>1.0</v>
      </c>
      <c r="U872" s="96">
        <v>42251.0</v>
      </c>
      <c r="V872" s="97" t="s">
        <v>5973</v>
      </c>
      <c r="W872" s="97" t="s">
        <v>5974</v>
      </c>
      <c r="X872" s="79" t="s">
        <v>5861</v>
      </c>
      <c r="Y872" s="98"/>
      <c r="Z872" s="98"/>
      <c r="AA872" s="98"/>
      <c r="AB872" s="98"/>
      <c r="AC872" s="98"/>
      <c r="AD872" s="98"/>
      <c r="AE872" s="98"/>
      <c r="AF872" s="98"/>
      <c r="AG872" s="98"/>
      <c r="AH872" s="98"/>
      <c r="AI872" s="98"/>
      <c r="AJ872" s="98"/>
      <c r="AK872" s="98"/>
      <c r="AL872" s="98"/>
      <c r="AM872" s="98"/>
      <c r="AN872" s="98"/>
      <c r="AO872" s="98"/>
      <c r="AP872" s="98"/>
      <c r="AQ872" s="98"/>
      <c r="AR872" s="98"/>
    </row>
    <row r="873" ht="20.25" customHeight="1">
      <c r="A873" s="79">
        <v>862.0</v>
      </c>
      <c r="B873" s="91" t="s">
        <v>39</v>
      </c>
      <c r="C873" s="91" t="s">
        <v>5848</v>
      </c>
      <c r="D873" s="91" t="s">
        <v>5975</v>
      </c>
      <c r="E873" s="92" t="s">
        <v>5976</v>
      </c>
      <c r="F873" s="91" t="s">
        <v>1807</v>
      </c>
      <c r="G873" s="80" t="s">
        <v>44</v>
      </c>
      <c r="H873" s="80" t="s">
        <v>21</v>
      </c>
      <c r="I873" s="91" t="s">
        <v>5711</v>
      </c>
      <c r="J873" s="80" t="s">
        <v>45</v>
      </c>
      <c r="K873" s="91" t="s">
        <v>5977</v>
      </c>
      <c r="L873" s="92" t="s">
        <v>5978</v>
      </c>
      <c r="M873" s="83">
        <f t="shared" si="1"/>
        <v>100</v>
      </c>
      <c r="N873" s="84">
        <v>100.0</v>
      </c>
      <c r="O873" s="84"/>
      <c r="P873" s="84"/>
      <c r="Q873" s="94">
        <v>845.3</v>
      </c>
      <c r="R873" s="94">
        <v>558.0</v>
      </c>
      <c r="S873" s="95" t="s">
        <v>5942</v>
      </c>
      <c r="T873" s="94">
        <v>1.0</v>
      </c>
      <c r="U873" s="96">
        <v>43522.0</v>
      </c>
      <c r="V873" s="97" t="s">
        <v>5979</v>
      </c>
      <c r="W873" s="97" t="s">
        <v>5979</v>
      </c>
      <c r="X873" s="79" t="s">
        <v>5980</v>
      </c>
      <c r="Y873" s="98"/>
      <c r="Z873" s="98"/>
      <c r="AA873" s="98"/>
      <c r="AB873" s="98"/>
      <c r="AC873" s="98"/>
      <c r="AD873" s="98"/>
      <c r="AE873" s="98"/>
      <c r="AF873" s="98"/>
      <c r="AG873" s="98"/>
      <c r="AH873" s="98"/>
      <c r="AI873" s="98"/>
      <c r="AJ873" s="98"/>
      <c r="AK873" s="98"/>
      <c r="AL873" s="98"/>
      <c r="AM873" s="98"/>
      <c r="AN873" s="98"/>
      <c r="AO873" s="98"/>
      <c r="AP873" s="98"/>
      <c r="AQ873" s="98"/>
      <c r="AR873" s="98"/>
    </row>
    <row r="874" ht="20.25" customHeight="1">
      <c r="A874" s="79">
        <v>863.0</v>
      </c>
      <c r="B874" s="91" t="s">
        <v>39</v>
      </c>
      <c r="C874" s="91" t="s">
        <v>5848</v>
      </c>
      <c r="D874" s="91" t="s">
        <v>5981</v>
      </c>
      <c r="E874" s="92" t="s">
        <v>5982</v>
      </c>
      <c r="F874" s="91" t="s">
        <v>1807</v>
      </c>
      <c r="G874" s="80" t="s">
        <v>44</v>
      </c>
      <c r="H874" s="80" t="s">
        <v>21</v>
      </c>
      <c r="I874" s="91" t="s">
        <v>5711</v>
      </c>
      <c r="J874" s="80" t="s">
        <v>45</v>
      </c>
      <c r="K874" s="91" t="s">
        <v>5983</v>
      </c>
      <c r="L874" s="92" t="s">
        <v>5984</v>
      </c>
      <c r="M874" s="83">
        <f t="shared" si="1"/>
        <v>150</v>
      </c>
      <c r="N874" s="84">
        <v>150.0</v>
      </c>
      <c r="O874" s="84"/>
      <c r="P874" s="84"/>
      <c r="Q874" s="94">
        <v>1095.0</v>
      </c>
      <c r="R874" s="94">
        <v>853.77</v>
      </c>
      <c r="S874" s="95" t="s">
        <v>314</v>
      </c>
      <c r="T874" s="94">
        <v>1.0</v>
      </c>
      <c r="U874" s="96">
        <v>44013.0</v>
      </c>
      <c r="V874" s="97" t="s">
        <v>5985</v>
      </c>
      <c r="W874" s="97" t="s">
        <v>5986</v>
      </c>
      <c r="X874" s="79" t="s">
        <v>5987</v>
      </c>
      <c r="Y874" s="98"/>
      <c r="Z874" s="98"/>
      <c r="AA874" s="98"/>
      <c r="AB874" s="98"/>
      <c r="AC874" s="98"/>
      <c r="AD874" s="98"/>
      <c r="AE874" s="98"/>
      <c r="AF874" s="98"/>
      <c r="AG874" s="98"/>
      <c r="AH874" s="98"/>
      <c r="AI874" s="98"/>
      <c r="AJ874" s="98"/>
      <c r="AK874" s="98"/>
      <c r="AL874" s="98"/>
      <c r="AM874" s="98"/>
      <c r="AN874" s="98"/>
      <c r="AO874" s="98"/>
      <c r="AP874" s="98"/>
      <c r="AQ874" s="98"/>
      <c r="AR874" s="98"/>
    </row>
    <row r="875" ht="20.25" customHeight="1">
      <c r="A875" s="79">
        <v>864.0</v>
      </c>
      <c r="B875" s="91" t="s">
        <v>39</v>
      </c>
      <c r="C875" s="91" t="s">
        <v>5848</v>
      </c>
      <c r="D875" s="91" t="s">
        <v>5988</v>
      </c>
      <c r="E875" s="92" t="s">
        <v>5989</v>
      </c>
      <c r="F875" s="91" t="s">
        <v>1807</v>
      </c>
      <c r="G875" s="80" t="s">
        <v>44</v>
      </c>
      <c r="H875" s="80" t="s">
        <v>21</v>
      </c>
      <c r="I875" s="91" t="s">
        <v>5711</v>
      </c>
      <c r="J875" s="80" t="s">
        <v>43</v>
      </c>
      <c r="K875" s="79" t="s">
        <v>5851</v>
      </c>
      <c r="L875" s="93" t="s">
        <v>5990</v>
      </c>
      <c r="M875" s="83">
        <f t="shared" si="1"/>
        <v>200</v>
      </c>
      <c r="N875" s="84">
        <v>200.0</v>
      </c>
      <c r="O875" s="84"/>
      <c r="P875" s="84"/>
      <c r="Q875" s="94">
        <v>10819.4</v>
      </c>
      <c r="R875" s="94">
        <v>998.11</v>
      </c>
      <c r="S875" s="95" t="s">
        <v>380</v>
      </c>
      <c r="T875" s="94">
        <v>1.0</v>
      </c>
      <c r="U875" s="96">
        <v>44902.0</v>
      </c>
      <c r="V875" s="97" t="s">
        <v>5991</v>
      </c>
      <c r="W875" s="97" t="s">
        <v>5992</v>
      </c>
      <c r="X875" s="79" t="s">
        <v>5861</v>
      </c>
      <c r="Y875" s="98"/>
      <c r="Z875" s="98"/>
      <c r="AA875" s="98"/>
      <c r="AB875" s="98"/>
      <c r="AC875" s="98"/>
      <c r="AD875" s="98"/>
      <c r="AE875" s="98"/>
      <c r="AF875" s="98"/>
      <c r="AG875" s="98"/>
      <c r="AH875" s="98"/>
      <c r="AI875" s="98"/>
      <c r="AJ875" s="98"/>
      <c r="AK875" s="98"/>
      <c r="AL875" s="98"/>
      <c r="AM875" s="98"/>
      <c r="AN875" s="98"/>
      <c r="AO875" s="98"/>
      <c r="AP875" s="98"/>
      <c r="AQ875" s="98"/>
      <c r="AR875" s="98"/>
    </row>
    <row r="876" ht="41.25" customHeight="1">
      <c r="A876" s="59"/>
      <c r="B876" s="59"/>
      <c r="C876" s="59"/>
      <c r="D876" s="59"/>
      <c r="E876" s="140"/>
      <c r="F876" s="59"/>
      <c r="G876" s="59"/>
      <c r="H876" s="59"/>
      <c r="I876" s="59"/>
      <c r="J876" s="59"/>
      <c r="K876" s="59"/>
      <c r="L876" s="98"/>
      <c r="M876" s="57">
        <f t="shared" ref="M876:P876" si="2">SUBTOTAL(9,M12:M875)</f>
        <v>280247</v>
      </c>
      <c r="N876" s="57">
        <f t="shared" si="2"/>
        <v>163817</v>
      </c>
      <c r="O876" s="57">
        <f t="shared" si="2"/>
        <v>89339</v>
      </c>
      <c r="P876" s="57">
        <f t="shared" si="2"/>
        <v>27091</v>
      </c>
      <c r="Q876" s="59"/>
      <c r="R876" s="59"/>
      <c r="S876" s="59"/>
      <c r="T876" s="59"/>
      <c r="U876" s="59"/>
      <c r="V876" s="59"/>
      <c r="W876" s="59"/>
      <c r="X876" s="59"/>
      <c r="Y876" s="98"/>
      <c r="Z876" s="98"/>
      <c r="AA876" s="98"/>
      <c r="AB876" s="98"/>
      <c r="AC876" s="98"/>
      <c r="AD876" s="98"/>
      <c r="AE876" s="98"/>
      <c r="AF876" s="98"/>
      <c r="AG876" s="98"/>
      <c r="AH876" s="98"/>
      <c r="AI876" s="98"/>
      <c r="AJ876" s="98"/>
      <c r="AK876" s="98"/>
      <c r="AL876" s="98"/>
      <c r="AM876" s="98"/>
      <c r="AN876" s="98"/>
      <c r="AO876" s="98"/>
      <c r="AP876" s="98"/>
      <c r="AQ876" s="98"/>
      <c r="AR876" s="98"/>
    </row>
    <row r="877" ht="13.5" customHeight="1">
      <c r="A877" s="59"/>
      <c r="B877" s="59"/>
      <c r="C877" s="59"/>
      <c r="D877" s="59"/>
      <c r="E877" s="140"/>
      <c r="F877" s="59"/>
      <c r="G877" s="59"/>
      <c r="H877" s="59"/>
      <c r="I877" s="59"/>
      <c r="J877" s="59"/>
      <c r="K877" s="59"/>
      <c r="L877" s="98"/>
      <c r="M877" s="141"/>
      <c r="N877" s="141"/>
      <c r="O877" s="141"/>
      <c r="P877" s="141"/>
      <c r="Q877" s="59"/>
      <c r="R877" s="59"/>
      <c r="S877" s="59"/>
      <c r="T877" s="59"/>
      <c r="U877" s="59"/>
      <c r="V877" s="59"/>
      <c r="W877" s="59"/>
      <c r="X877" s="59"/>
      <c r="Y877" s="98"/>
      <c r="Z877" s="98"/>
      <c r="AA877" s="98"/>
      <c r="AB877" s="98"/>
      <c r="AC877" s="98"/>
      <c r="AD877" s="98"/>
      <c r="AE877" s="98"/>
      <c r="AF877" s="98"/>
      <c r="AG877" s="98"/>
      <c r="AH877" s="98"/>
      <c r="AI877" s="98"/>
      <c r="AJ877" s="98"/>
      <c r="AK877" s="98"/>
      <c r="AL877" s="98"/>
      <c r="AM877" s="98"/>
      <c r="AN877" s="98"/>
      <c r="AO877" s="98"/>
      <c r="AP877" s="98"/>
      <c r="AQ877" s="98"/>
      <c r="AR877" s="98"/>
    </row>
    <row r="878" ht="13.5" customHeight="1">
      <c r="A878" s="59"/>
      <c r="B878" s="59"/>
      <c r="C878" s="59"/>
      <c r="D878" s="59"/>
      <c r="E878" s="140"/>
      <c r="F878" s="59"/>
      <c r="G878" s="59"/>
      <c r="H878" s="59"/>
      <c r="I878" s="59"/>
      <c r="J878" s="59"/>
      <c r="K878" s="59"/>
      <c r="L878" s="98"/>
      <c r="M878" s="141"/>
      <c r="N878" s="141"/>
      <c r="O878" s="141"/>
      <c r="P878" s="141"/>
      <c r="Q878" s="59"/>
      <c r="R878" s="59"/>
      <c r="S878" s="59"/>
      <c r="T878" s="59"/>
      <c r="U878" s="59"/>
      <c r="V878" s="59"/>
      <c r="W878" s="59"/>
      <c r="X878" s="59"/>
      <c r="Y878" s="98"/>
      <c r="Z878" s="98"/>
      <c r="AA878" s="98"/>
      <c r="AB878" s="98"/>
      <c r="AC878" s="98"/>
      <c r="AD878" s="98"/>
      <c r="AE878" s="98"/>
      <c r="AF878" s="98"/>
      <c r="AG878" s="98"/>
      <c r="AH878" s="98"/>
      <c r="AI878" s="98"/>
      <c r="AJ878" s="98"/>
      <c r="AK878" s="98"/>
      <c r="AL878" s="98"/>
      <c r="AM878" s="98"/>
      <c r="AN878" s="98"/>
      <c r="AO878" s="98"/>
      <c r="AP878" s="98"/>
      <c r="AQ878" s="98"/>
      <c r="AR878" s="98"/>
    </row>
  </sheetData>
  <autoFilter ref="$A$11:$AR$875"/>
  <mergeCells count="27">
    <mergeCell ref="A1:E3"/>
    <mergeCell ref="A8:A10"/>
    <mergeCell ref="B8:B10"/>
    <mergeCell ref="C8:C10"/>
    <mergeCell ref="D8:D10"/>
    <mergeCell ref="E8:E10"/>
    <mergeCell ref="F8:F10"/>
    <mergeCell ref="M9:M10"/>
    <mergeCell ref="N9:N10"/>
    <mergeCell ref="O9:O10"/>
    <mergeCell ref="P9:P10"/>
    <mergeCell ref="G8:G10"/>
    <mergeCell ref="H8:H10"/>
    <mergeCell ref="I8:I10"/>
    <mergeCell ref="J8:J9"/>
    <mergeCell ref="K8:K9"/>
    <mergeCell ref="L8:L10"/>
    <mergeCell ref="M8:P8"/>
    <mergeCell ref="S9:S10"/>
    <mergeCell ref="T9:T10"/>
    <mergeCell ref="Q8:T8"/>
    <mergeCell ref="U8:U10"/>
    <mergeCell ref="V8:V10"/>
    <mergeCell ref="W8:W10"/>
    <mergeCell ref="X8:X10"/>
    <mergeCell ref="Q9:Q10"/>
    <mergeCell ref="R9:R10"/>
  </mergeCells>
  <dataValidations>
    <dataValidation type="list" allowBlank="1" showErrorMessage="1" sqref="H1:H8 H11:H875">
      <formula1>$H$1:$H$2</formula1>
    </dataValidation>
    <dataValidation type="list" allowBlank="1" showErrorMessage="1" sqref="K745:K748">
      <formula1>$J$1:$J$2</formula1>
    </dataValidation>
    <dataValidation type="list" allowBlank="1" showErrorMessage="1" sqref="G12:G875">
      <formula1>$G$1:$G$6</formula1>
    </dataValidation>
    <dataValidation type="list" allowBlank="1" showErrorMessage="1" sqref="Q43:Q44 Q46 L719:L720 L788:L810">
      <formula1>#REF!</formula1>
    </dataValidation>
    <dataValidation type="list" allowBlank="1" showErrorMessage="1" sqref="J1:J8 J10:J875">
      <formula1>$J$1:$J$3</formula1>
    </dataValidation>
    <dataValidation type="list" allowBlank="1" showErrorMessage="1" sqref="X48">
      <formula1>$U$1:$U$2</formula1>
    </dataValidation>
  </dataValidations>
  <hyperlinks>
    <hyperlink r:id="rId1" ref="X109"/>
  </hyperlinks>
  <printOptions/>
  <pageMargins bottom="0.747916666666667" footer="0.0" header="0.0" left="0.708333333333333" right="0.708333333333333" top="0.747916666666667"/>
  <pageSetup paperSize="9"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2007-03-13T07:44:50Z</dcterms:created>
  <dc:creator>김봉두</dc:creator>
</cp:coreProperties>
</file>